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xr:revisionPtr revIDLastSave="0" documentId="13_ncr:1_{B2BB3C44-87C4-4499-9F3F-1C97BA2243B5}" xr6:coauthVersionLast="47" xr6:coauthVersionMax="47" xr10:uidLastSave="{00000000-0000-0000-0000-000000000000}"/>
  <bookViews>
    <workbookView xWindow="4545" yWindow="435" windowWidth="21240" windowHeight="15285" xr2:uid="{00000000-000D-0000-FFFF-FFFF00000000}"/>
  </bookViews>
  <sheets>
    <sheet name="参照元チェックリスト" sheetId="15" r:id="rId1"/>
    <sheet name="参照元チェックリストの説明" sheetId="17" r:id="rId2"/>
    <sheet name="記入例" sheetId="19" r:id="rId3"/>
    <sheet name="変更履歴" sheetId="16" r:id="rId4"/>
    <sheet name="挿入図" sheetId="20" r:id="rId5"/>
  </sheets>
  <definedNames>
    <definedName name="_xlnm.Print_Area" localSheetId="1">参照元チェックリストの説明!$B$28:$E$43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5" l="1" a="1"/>
  <c r="C4" i="15" s="1"/>
  <c r="B12" i="19"/>
  <c r="C36" i="17"/>
  <c r="B36" i="17"/>
  <c r="C31" i="17"/>
  <c r="C32" i="17"/>
  <c r="B31" i="17"/>
  <c r="B32" i="17"/>
  <c r="C44" i="17"/>
  <c r="B44" i="17"/>
  <c r="C47" i="17"/>
  <c r="B47" i="17"/>
  <c r="C46" i="17"/>
  <c r="B46" i="17"/>
  <c r="C45" i="17"/>
  <c r="B45" i="17"/>
  <c r="C43" i="17"/>
  <c r="B43" i="17"/>
  <c r="C42" i="17"/>
  <c r="B42" i="17"/>
  <c r="C41" i="17"/>
  <c r="B41" i="17"/>
  <c r="C40" i="17"/>
  <c r="B40" i="17"/>
  <c r="C39" i="17"/>
  <c r="B39" i="17"/>
  <c r="C38" i="17"/>
  <c r="B38" i="17"/>
  <c r="C37" i="17"/>
  <c r="B37" i="17"/>
  <c r="C35" i="17"/>
  <c r="B35" i="17"/>
  <c r="C34" i="17"/>
  <c r="B34" i="17"/>
  <c r="C33" i="17"/>
  <c r="B33"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8" authorId="0" shapeId="0" xr:uid="{00000000-0006-0000-0000-000001000000}">
      <text>
        <r>
          <rPr>
            <sz val="8"/>
            <color indexed="10"/>
            <rFont val="MS P ゴシック"/>
            <family val="3"/>
            <charset val="128"/>
          </rPr>
          <t>初心者の場合
 参照元(部品CSW)
 参照元(処理CSW)
 参照先(部品CSW)
 参照先(処理CSW)
をそれぞれ記載。
慣れている人の場合
参照IFのDSMにもCSW情報を
記載するため、「OK」等の
チェック結果を残す程度で、
詳細な記載は省略可。</t>
        </r>
      </text>
    </comment>
    <comment ref="C15" authorId="0" shapeId="0" xr:uid="{2A31EFF8-1762-4A81-ADD0-E76B3065B132}">
      <text>
        <r>
          <rPr>
            <sz val="9"/>
            <color indexed="81"/>
            <rFont val="MS P ゴシック"/>
            <family val="3"/>
            <charset val="128"/>
          </rPr>
          <t>CAN信号の場合、FS値は途絶時とフェイル時をそれぞれ確認すること！</t>
        </r>
      </text>
    </comment>
    <comment ref="C24" authorId="0" shapeId="0" xr:uid="{00000000-0006-0000-0000-000002000000}">
      <text>
        <r>
          <rPr>
            <sz val="9"/>
            <color indexed="10"/>
            <rFont val="MS P ゴシック"/>
            <family val="3"/>
            <charset val="128"/>
          </rPr>
          <t>Yes/No で回答
Yesとなる場合は
6-1、6-2について検討必要</t>
        </r>
      </text>
    </comment>
    <comment ref="C26" authorId="0" shapeId="0" xr:uid="{00000000-0006-0000-0000-000003000000}">
      <text>
        <r>
          <rPr>
            <sz val="9"/>
            <color indexed="10"/>
            <rFont val="ＭＳ Ｐゴシック"/>
            <family val="3"/>
            <charset val="128"/>
          </rPr>
          <t>（回答例）
・参照元部品からの複数RAM参照なし
・参照元部品が同一コアのため問題なし
・同時性保証は不要
・同時性保証が必要⇒マルチコア対応（同時性保証）実施済
　※マルチコア対応については24Fに相談のこと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4" authorId="0" shapeId="0" xr:uid="{714EC870-C5DF-47D3-8A4F-B64AFB88BBDB}">
      <text>
        <r>
          <rPr>
            <b/>
            <sz val="9"/>
            <color indexed="81"/>
            <rFont val="MS P ゴシック"/>
            <family val="3"/>
            <charset val="128"/>
          </rPr>
          <t>ファイル名から自動入力</t>
        </r>
      </text>
    </comment>
    <comment ref="O6" authorId="0" shapeId="0" xr:uid="{6D6105D5-872F-49F5-A582-27F0CF0EB141}">
      <text>
        <r>
          <rPr>
            <b/>
            <sz val="9"/>
            <color indexed="81"/>
            <rFont val="MS P ゴシック"/>
            <family val="3"/>
            <charset val="128"/>
          </rPr>
          <t>ロジ変の項番を記入</t>
        </r>
      </text>
    </comment>
    <comment ref="Q6" authorId="0" shapeId="0" xr:uid="{33A18178-5B02-4E5E-94A5-57DAEAE57291}">
      <text>
        <r>
          <rPr>
            <b/>
            <sz val="9"/>
            <color indexed="81"/>
            <rFont val="MS P ゴシック"/>
            <family val="3"/>
            <charset val="128"/>
          </rPr>
          <t>変数は項番順に記載
例を参考に</t>
        </r>
      </text>
    </comment>
    <comment ref="C8" authorId="0" shapeId="0" xr:uid="{00000000-0006-0000-0200-000001000000}">
      <text>
        <r>
          <rPr>
            <sz val="8"/>
            <color indexed="10"/>
            <rFont val="MS P ゴシック"/>
            <family val="3"/>
            <charset val="128"/>
          </rPr>
          <t>初心者の場合
 参照元(部品CSW)
 参照元(処理CSW)
 参照先(部品CSW)
 参照先(処理CSW)
をそれぞれ記載。
慣れている人の場合
参照IFのDSMにもCSW情報を
記載するため、「OK」等の
チェック結果を残す程度で、
詳細な記載は省略可。</t>
        </r>
      </text>
    </comment>
    <comment ref="Z8" authorId="0" shapeId="0" xr:uid="{68FA4230-2EBD-470A-9575-B1E3E3886F5C}">
      <text>
        <r>
          <rPr>
            <b/>
            <sz val="9"/>
            <color indexed="81"/>
            <rFont val="MS P ゴシック"/>
            <family val="3"/>
            <charset val="128"/>
          </rPr>
          <t>必要であれば項番毎にコメントを記載</t>
        </r>
      </text>
    </comment>
    <comment ref="BG8" authorId="0" shapeId="0" xr:uid="{00000000-0006-0000-0200-000002000000}">
      <text>
        <r>
          <rPr>
            <sz val="10"/>
            <color indexed="81"/>
            <rFont val="MS P ゴシック"/>
            <family val="3"/>
            <charset val="128"/>
          </rPr>
          <t>公開コンパイルSWと参照コンパイルSWをそのまま記入し、
公開⊇参照となっていることを確認する
部品コンパイルSWや、バリエーション（ac1やal1）によって
限定されるコンパイルSWにも注意</t>
        </r>
      </text>
    </comment>
    <comment ref="BR10" authorId="0" shapeId="0" xr:uid="{00000000-0006-0000-0200-000003000000}">
      <text>
        <r>
          <rPr>
            <sz val="10"/>
            <color indexed="81"/>
            <rFont val="MS P ゴシック"/>
            <family val="3"/>
            <charset val="128"/>
          </rPr>
          <t>更新周期と参照周期を記入し、
参照周期の方が荒い場合、問題ない理由を記入する</t>
        </r>
      </text>
    </comment>
    <comment ref="BR11" authorId="0" shapeId="0" xr:uid="{00000000-0006-0000-0200-000004000000}">
      <text>
        <r>
          <rPr>
            <sz val="10"/>
            <color indexed="81"/>
            <rFont val="MS P ゴシック"/>
            <family val="3"/>
            <charset val="128"/>
          </rPr>
          <t>更新されないタイミングがあるかどうかを記載し、
あれば、更新されなくても問題ない理由を記入する</t>
        </r>
      </text>
    </comment>
    <comment ref="BR12" authorId="0" shapeId="0" xr:uid="{00000000-0006-0000-0200-000005000000}">
      <text>
        <r>
          <rPr>
            <sz val="10"/>
            <color indexed="81"/>
            <rFont val="MS P ゴシック"/>
            <family val="3"/>
            <charset val="128"/>
          </rPr>
          <t>1周期遅れでの参照になるかどうかを記載し、
1周期遅れとなる場合は問題ない理由を記載する</t>
        </r>
      </text>
    </comment>
    <comment ref="C15" authorId="0" shapeId="0" xr:uid="{21B9D856-77A3-4BB0-9823-E21798EC7B7F}">
      <text>
        <r>
          <rPr>
            <sz val="9"/>
            <color indexed="81"/>
            <rFont val="MS P ゴシック"/>
            <family val="3"/>
            <charset val="128"/>
          </rPr>
          <t>CAN信号の場合、FS値は途絶時とフェイル時をそれぞれ確認すること！</t>
        </r>
      </text>
    </comment>
    <comment ref="O16" authorId="0" shapeId="0" xr:uid="{00000000-0006-0000-0200-000006000000}">
      <text>
        <r>
          <rPr>
            <b/>
            <sz val="9"/>
            <color indexed="81"/>
            <rFont val="MS P ゴシック"/>
            <family val="3"/>
            <charset val="128"/>
          </rPr>
          <t>CAN信号の場合、
FS値は通信途絶とセンサフェイル場合が考えられる。両方ある場合は両方記載して、問題無い理由を記載する:</t>
        </r>
      </text>
    </comment>
    <comment ref="AK16" authorId="0" shapeId="0" xr:uid="{00000000-0006-0000-0200-000007000000}">
      <text>
        <r>
          <rPr>
            <b/>
            <sz val="9"/>
            <color indexed="81"/>
            <rFont val="MS P ゴシック"/>
            <family val="3"/>
            <charset val="128"/>
          </rPr>
          <t>SACの場合、
初期値・FS値ともに
成り行きの場合があるので注意:</t>
        </r>
      </text>
    </comment>
    <comment ref="BR16" authorId="0" shapeId="0" xr:uid="{00000000-0006-0000-0200-000008000000}">
      <text>
        <r>
          <rPr>
            <sz val="10"/>
            <color indexed="81"/>
            <rFont val="MS P ゴシック"/>
            <family val="3"/>
            <charset val="128"/>
          </rPr>
          <t xml:space="preserve">******ここのチェック漏れによる不具合が他分野含め多いため注意*****
初期値およびフェイルセーフ値を記載し、
問題ない理由を記載する
特にフェイルセーフ値については、どのような場合（センサフェール、
CAN通信途絶等）にその値となり、その場合に機能にどのような影響を及ぼすかを詳細に記入し、問題ないことを示す（各参照箇所に対して）
各初期値フェール値の参照方法
・・・・・
</t>
        </r>
      </text>
    </comment>
    <comment ref="BR18" authorId="0" shapeId="0" xr:uid="{00000000-0006-0000-0200-000009000000}">
      <text>
        <r>
          <rPr>
            <sz val="10"/>
            <color indexed="81"/>
            <rFont val="MS P ゴシック"/>
            <family val="3"/>
            <charset val="128"/>
          </rPr>
          <t>類似変数（機能的に似ている変数と、RAM名が似ている変数）をあげて、
参照意図に合致した変数を参照で来ていることを示す</t>
        </r>
      </text>
    </comment>
    <comment ref="CC19" authorId="0" shapeId="0" xr:uid="{00000000-0006-0000-0200-00000A000000}">
      <text>
        <r>
          <rPr>
            <sz val="10"/>
            <color indexed="81"/>
            <rFont val="MS P ゴシック"/>
            <family val="3"/>
            <charset val="128"/>
          </rPr>
          <t>同じ部品から複数の変数の参照がある場合、
同時性保証しない場合は、不要の理由を記載し、
同時性保証する場合は、同時性保証済みを記載する</t>
        </r>
      </text>
    </comment>
    <comment ref="AK20" authorId="0" shapeId="0" xr:uid="{00000000-0006-0000-0200-00000B000000}">
      <text>
        <r>
          <rPr>
            <b/>
            <sz val="9"/>
            <color indexed="81"/>
            <rFont val="MS P ゴシック"/>
            <family val="3"/>
            <charset val="128"/>
          </rPr>
          <t>ENGドメイン以外は
フォルダ間の参照ルールは対象外</t>
        </r>
      </text>
    </comment>
    <comment ref="BR20" authorId="0" shapeId="0" xr:uid="{00000000-0006-0000-0200-00000C000000}">
      <text>
        <r>
          <rPr>
            <sz val="10"/>
            <color indexed="81"/>
            <rFont val="MS P ゴシック"/>
            <family val="3"/>
            <charset val="128"/>
          </rPr>
          <t>「参照元チェックリスト」シート上部の参照可否ルール表を参照し、
△や×となっている場合は、それでも参照して問題ない理由を記載し、〇の場合は問題なしと記載する</t>
        </r>
      </text>
    </comment>
    <comment ref="BR23" authorId="0" shapeId="0" xr:uid="{00000000-0006-0000-0200-00000D000000}">
      <text>
        <r>
          <rPr>
            <sz val="10"/>
            <color indexed="81"/>
            <rFont val="MS P ゴシック"/>
            <family val="3"/>
            <charset val="128"/>
          </rPr>
          <t>調停器に要求を出しているかどうかを記載し、
要求を出している場合、その調停器の他の要求IDを見ていないことを記載する</t>
        </r>
      </text>
    </comment>
    <comment ref="C24" authorId="0" shapeId="0" xr:uid="{00000000-0006-0000-0200-00000E000000}">
      <text>
        <r>
          <rPr>
            <sz val="9"/>
            <color indexed="10"/>
            <rFont val="MS P ゴシック"/>
            <family val="3"/>
            <charset val="128"/>
          </rPr>
          <t>Yes/No で回答
Yesとなる場合は
6-1、6-2について検討必要</t>
        </r>
      </text>
    </comment>
    <comment ref="BR24" authorId="0" shapeId="0" xr:uid="{00000000-0006-0000-0200-00000F000000}">
      <text>
        <r>
          <rPr>
            <sz val="10"/>
            <color indexed="81"/>
            <rFont val="MS P ゴシック"/>
            <family val="3"/>
            <charset val="128"/>
          </rPr>
          <t>公開部品のコアと参照部品のコアを記載し、別コアの参照となるかどうかを記載する
別コアとなる場合は、6-1、6-2に回答する
詳細は「参照元チェックリストの説明」シートの6.補足資料を参照</t>
        </r>
      </text>
    </comment>
    <comment ref="C26" authorId="0" shapeId="0" xr:uid="{00000000-0006-0000-0200-000010000000}">
      <text>
        <r>
          <rPr>
            <sz val="9"/>
            <color indexed="10"/>
            <rFont val="ＭＳ Ｐゴシック"/>
            <family val="3"/>
            <charset val="128"/>
          </rPr>
          <t>（回答例）
・参照元部品からの複数RAM参照なし
・参照元部品が同一コアのため問題なし
・同時性保証は不要
・同時性保証が必要⇒マルチコア対応（同時性保証）実施済
　※マルチコア対応については24Fに相談のこと</t>
        </r>
      </text>
    </comment>
    <comment ref="BR27" authorId="0" shapeId="0" xr:uid="{00000000-0006-0000-0200-000011000000}">
      <text>
        <r>
          <rPr>
            <sz val="10"/>
            <color indexed="81"/>
            <rFont val="MS P ゴシック"/>
            <family val="3"/>
            <charset val="128"/>
          </rPr>
          <t>同時発行予定の有無を記入し、
同時発行予定がある場合は、共連れ有無を確認し、対応を記入する</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<sst xmlns="http://schemas.openxmlformats.org/spreadsheetml/2006/main" count="436" uniqueCount="309">
  <si>
    <t>No.</t>
    <phoneticPr fontId="1"/>
  </si>
  <si>
    <t>チェックするタイミング</t>
    <phoneticPr fontId="1"/>
  </si>
  <si>
    <t>チェック方法</t>
    <rPh sb="4" eb="6">
      <t>ホウホウ</t>
    </rPh>
    <phoneticPr fontId="1"/>
  </si>
  <si>
    <t>・変数を新規に参照した時
・変数の参照方法を変更した時</t>
    <rPh sb="1" eb="3">
      <t>ヘンスウ</t>
    </rPh>
    <rPh sb="11" eb="12">
      <t>トキ</t>
    </rPh>
    <rPh sb="14" eb="16">
      <t>ヘンスウ</t>
    </rPh>
    <rPh sb="26" eb="27">
      <t>ジ</t>
    </rPh>
    <phoneticPr fontId="1"/>
  </si>
  <si>
    <t>事例</t>
    <rPh sb="0" eb="1">
      <t>ジ</t>
    </rPh>
    <rPh sb="1" eb="2">
      <t>レイ</t>
    </rPh>
    <phoneticPr fontId="1"/>
  </si>
  <si>
    <t>同時に発行し、公開変数が非公開に変更された</t>
    <rPh sb="9" eb="11">
      <t>ヘンスウ</t>
    </rPh>
    <phoneticPr fontId="1"/>
  </si>
  <si>
    <t xml:space="preserve">クランクアングル周期更新の変数を時間周期で参照する場合、値の更新遅れるENG低回転時は、値が更新されないENG停止時に参照していないか </t>
    <phoneticPr fontId="1"/>
  </si>
  <si>
    <t>チェック対象</t>
    <rPh sb="4" eb="6">
      <t>タイショウ</t>
    </rPh>
    <phoneticPr fontId="1"/>
  </si>
  <si>
    <t>チェック観点</t>
    <rPh sb="4" eb="6">
      <t>カンテン</t>
    </rPh>
    <phoneticPr fontId="1"/>
  </si>
  <si>
    <t>対象部品名：</t>
    <rPh sb="0" eb="2">
      <t>タイショウ</t>
    </rPh>
    <rPh sb="2" eb="4">
      <t>ブヒン</t>
    </rPh>
    <rPh sb="4" eb="5">
      <t>メイ</t>
    </rPh>
    <phoneticPr fontId="1"/>
  </si>
  <si>
    <t>940F処理負荷低減対応でeklgcndを65msl⇒131mslに変更。
eklgcndのエンスト時判定処理判定で参照するeisccndが65msl更新の為、
正常⇒エンストのエッジ検出ができず、エンスト時判定処理が実行できない。
暫定対応）etranmng内のeklgmng_131mslを65mslコールに変更</t>
    <phoneticPr fontId="1"/>
  </si>
  <si>
    <t>概要・目的</t>
    <rPh sb="0" eb="2">
      <t>ガイヨウ</t>
    </rPh>
    <rPh sb="3" eb="5">
      <t>モクテキ</t>
    </rPh>
    <phoneticPr fontId="1"/>
  </si>
  <si>
    <t>内部の制御状態遷移に使う情報なので外部参照はさせない</t>
    <phoneticPr fontId="1"/>
  </si>
  <si>
    <t>最新の値を狙い通りに参照する為の、最低限考えること</t>
    <phoneticPr fontId="1"/>
  </si>
  <si>
    <t>制御をスパゲッティ構造化させない為の、再構築ルール</t>
    <rPh sb="0" eb="2">
      <t>セイギョ</t>
    </rPh>
    <rPh sb="9" eb="12">
      <t>コウゾウカ</t>
    </rPh>
    <rPh sb="16" eb="17">
      <t>タメ</t>
    </rPh>
    <rPh sb="19" eb="22">
      <t>サイコウチク</t>
    </rPh>
    <phoneticPr fontId="1"/>
  </si>
  <si>
    <t>初期値やフェイルセーフ移行を見落とさないこと</t>
    <rPh sb="0" eb="3">
      <t>ショキチ</t>
    </rPh>
    <rPh sb="11" eb="13">
      <t>イコウ</t>
    </rPh>
    <rPh sb="14" eb="16">
      <t>ミオ</t>
    </rPh>
    <phoneticPr fontId="1"/>
  </si>
  <si>
    <t>同時変更で、参照しようとしている変数に変化がないかは見落としがち</t>
    <rPh sb="0" eb="2">
      <t>ドウジ</t>
    </rPh>
    <rPh sb="2" eb="4">
      <t>ヘンコウ</t>
    </rPh>
    <rPh sb="6" eb="8">
      <t>サンショウ</t>
    </rPh>
    <rPh sb="16" eb="18">
      <t>ヘンスウ</t>
    </rPh>
    <rPh sb="19" eb="21">
      <t>ヘンカ</t>
    </rPh>
    <rPh sb="26" eb="28">
      <t>ミオ</t>
    </rPh>
    <phoneticPr fontId="1"/>
  </si>
  <si>
    <t>今後の仕様変更で算出タイミング変更したときに、参照しているエッジを
検出できるかどうかの確認が毎回確実にできる保証はない。
参照側で、参照している変数の変化をとらえるべき。</t>
    <rPh sb="0" eb="2">
      <t>コンゴ</t>
    </rPh>
    <rPh sb="3" eb="5">
      <t>シヨウ</t>
    </rPh>
    <rPh sb="5" eb="7">
      <t>ヘンコウ</t>
    </rPh>
    <rPh sb="8" eb="10">
      <t>サンシュツ</t>
    </rPh>
    <rPh sb="15" eb="17">
      <t>ヘンコウ</t>
    </rPh>
    <rPh sb="23" eb="25">
      <t>サンショウ</t>
    </rPh>
    <rPh sb="34" eb="36">
      <t>ケンシュツ</t>
    </rPh>
    <rPh sb="44" eb="46">
      <t>カクニン</t>
    </rPh>
    <rPh sb="47" eb="49">
      <t>マイカイ</t>
    </rPh>
    <rPh sb="49" eb="51">
      <t>カクジツ</t>
    </rPh>
    <rPh sb="55" eb="57">
      <t>ホショウ</t>
    </rPh>
    <rPh sb="62" eb="64">
      <t>サンショウ</t>
    </rPh>
    <rPh sb="64" eb="65">
      <t>ガワ</t>
    </rPh>
    <rPh sb="67" eb="69">
      <t>サンショウ</t>
    </rPh>
    <rPh sb="73" eb="75">
      <t>ヘンスウ</t>
    </rPh>
    <rPh sb="76" eb="78">
      <t>ヘンカ</t>
    </rPh>
    <phoneticPr fontId="1"/>
  </si>
  <si>
    <t>部品AとBが調停器Xに要求を出していて、Bの要求を見てAも要求を出す構成だと、
正しい調停構造ではなくなる</t>
    <rPh sb="0" eb="2">
      <t>ブヒン</t>
    </rPh>
    <rPh sb="6" eb="8">
      <t>チョウテイ</t>
    </rPh>
    <rPh sb="8" eb="9">
      <t>キ</t>
    </rPh>
    <rPh sb="11" eb="13">
      <t>ヨウキュウ</t>
    </rPh>
    <rPh sb="14" eb="15">
      <t>ダ</t>
    </rPh>
    <rPh sb="22" eb="24">
      <t>ヨウキュウ</t>
    </rPh>
    <rPh sb="25" eb="26">
      <t>ミ</t>
    </rPh>
    <rPh sb="29" eb="31">
      <t>ヨウキュウ</t>
    </rPh>
    <rPh sb="32" eb="33">
      <t>ダ</t>
    </rPh>
    <rPh sb="34" eb="36">
      <t>コウセイ</t>
    </rPh>
    <rPh sb="40" eb="41">
      <t>タダ</t>
    </rPh>
    <rPh sb="43" eb="45">
      <t>チョウテイ</t>
    </rPh>
    <rPh sb="45" eb="47">
      <t>コウゾウ</t>
    </rPh>
    <phoneticPr fontId="1"/>
  </si>
  <si>
    <t>運用方法</t>
    <rPh sb="0" eb="2">
      <t>ウンヨウ</t>
    </rPh>
    <rPh sb="2" eb="4">
      <t>ホウホウ</t>
    </rPh>
    <phoneticPr fontId="1"/>
  </si>
  <si>
    <t>変数を参照している処理関数、機能毎にチェック</t>
    <rPh sb="0" eb="2">
      <t>ヘンスウ</t>
    </rPh>
    <rPh sb="3" eb="5">
      <t>サンショウ</t>
    </rPh>
    <rPh sb="9" eb="11">
      <t>ショリ</t>
    </rPh>
    <rPh sb="14" eb="16">
      <t>キノウ</t>
    </rPh>
    <rPh sb="16" eb="17">
      <t>ゴト</t>
    </rPh>
    <phoneticPr fontId="1"/>
  </si>
  <si>
    <t>モード、パターン、ステップを参照していないか</t>
    <rPh sb="14" eb="16">
      <t>サンショウ</t>
    </rPh>
    <phoneticPr fontId="1"/>
  </si>
  <si>
    <t>参照変数の更新周期：ne30mで、自部品の処理周期：8mslの場合、
自部品が8mslで処理中に参照変数のne30m更新で割り込みがかかると、
参照側の同時性が崩れる</t>
    <rPh sb="0" eb="2">
      <t>サンショウ</t>
    </rPh>
    <rPh sb="2" eb="4">
      <t>ヘンスウ</t>
    </rPh>
    <rPh sb="5" eb="7">
      <t>コウシン</t>
    </rPh>
    <rPh sb="7" eb="9">
      <t>シュウキ</t>
    </rPh>
    <rPh sb="17" eb="18">
      <t>ジ</t>
    </rPh>
    <rPh sb="18" eb="20">
      <t>ブヒン</t>
    </rPh>
    <rPh sb="21" eb="23">
      <t>ショリ</t>
    </rPh>
    <rPh sb="23" eb="25">
      <t>シュウキ</t>
    </rPh>
    <rPh sb="31" eb="33">
      <t>バアイ</t>
    </rPh>
    <rPh sb="35" eb="36">
      <t>ジ</t>
    </rPh>
    <rPh sb="36" eb="38">
      <t>ブヒン</t>
    </rPh>
    <rPh sb="44" eb="46">
      <t>ショリ</t>
    </rPh>
    <rPh sb="46" eb="47">
      <t>チュウ</t>
    </rPh>
    <rPh sb="48" eb="50">
      <t>サンショウ</t>
    </rPh>
    <rPh sb="50" eb="52">
      <t>ヘンスウ</t>
    </rPh>
    <rPh sb="58" eb="60">
      <t>コウシン</t>
    </rPh>
    <rPh sb="61" eb="62">
      <t>ワ</t>
    </rPh>
    <rPh sb="63" eb="64">
      <t>コ</t>
    </rPh>
    <rPh sb="72" eb="74">
      <t>サンショウ</t>
    </rPh>
    <rPh sb="74" eb="75">
      <t>ガワ</t>
    </rPh>
    <rPh sb="76" eb="79">
      <t>ドウジセイ</t>
    </rPh>
    <rPh sb="80" eb="81">
      <t>クズ</t>
    </rPh>
    <phoneticPr fontId="1"/>
  </si>
  <si>
    <t>以下、狙いと事例集</t>
    <rPh sb="0" eb="2">
      <t>イカ</t>
    </rPh>
    <rPh sb="3" eb="4">
      <t>ネラ</t>
    </rPh>
    <rPh sb="6" eb="8">
      <t>ジレイ</t>
    </rPh>
    <rPh sb="8" eb="9">
      <t>シュウ</t>
    </rPh>
    <phoneticPr fontId="1"/>
  </si>
  <si>
    <t>なぜルール通りに見ないといけないかの真意</t>
    <rPh sb="18" eb="20">
      <t>シンイ</t>
    </rPh>
    <phoneticPr fontId="1"/>
  </si>
  <si>
    <t>参照元チェックリスト</t>
    <rPh sb="2" eb="3">
      <t>モト</t>
    </rPh>
    <phoneticPr fontId="1"/>
  </si>
  <si>
    <t>参照元チェックとは</t>
    <rPh sb="2" eb="3">
      <t>モト</t>
    </rPh>
    <phoneticPr fontId="1"/>
  </si>
  <si>
    <t xml:space="preserve">チェックリストを使用（仕様作成後、レビュー前に最終確認として実施）
</t>
    <rPh sb="8" eb="10">
      <t>シヨウ</t>
    </rPh>
    <rPh sb="11" eb="13">
      <t>シヨウ</t>
    </rPh>
    <rPh sb="13" eb="15">
      <t>サクセイ</t>
    </rPh>
    <rPh sb="15" eb="16">
      <t>ゴ</t>
    </rPh>
    <rPh sb="21" eb="22">
      <t>マエ</t>
    </rPh>
    <rPh sb="23" eb="25">
      <t>サイシュウ</t>
    </rPh>
    <rPh sb="25" eb="27">
      <t>カクニン</t>
    </rPh>
    <rPh sb="30" eb="32">
      <t>ジッシ</t>
    </rPh>
    <phoneticPr fontId="1"/>
  </si>
  <si>
    <t>仕様チェックリストの項目に、参照元チェック実施有無を追加。
結果は参照先チェックと同様にファイルをiSpiritにエビデンス登録する。</t>
    <rPh sb="0" eb="2">
      <t>シヨウ</t>
    </rPh>
    <rPh sb="10" eb="12">
      <t>コウモク</t>
    </rPh>
    <rPh sb="14" eb="16">
      <t>サンショウ</t>
    </rPh>
    <rPh sb="16" eb="17">
      <t>モト</t>
    </rPh>
    <rPh sb="21" eb="23">
      <t>ジッシ</t>
    </rPh>
    <rPh sb="23" eb="25">
      <t>ウム</t>
    </rPh>
    <rPh sb="26" eb="28">
      <t>ツイカ</t>
    </rPh>
    <phoneticPr fontId="1"/>
  </si>
  <si>
    <t>efunc同士で参照したり、estate,etranfwdが制御の流れに逆流して
efuncを参照すると制御の独立性が悪化する</t>
    <rPh sb="5" eb="7">
      <t>ドウシ</t>
    </rPh>
    <rPh sb="8" eb="10">
      <t>サンショウ</t>
    </rPh>
    <rPh sb="30" eb="32">
      <t>セイギョ</t>
    </rPh>
    <rPh sb="33" eb="34">
      <t>ナガ</t>
    </rPh>
    <rPh sb="36" eb="38">
      <t>ギャクリュウ</t>
    </rPh>
    <rPh sb="47" eb="49">
      <t>サンショウ</t>
    </rPh>
    <rPh sb="52" eb="54">
      <t>セイギョ</t>
    </rPh>
    <rPh sb="55" eb="58">
      <t>ドクリツセイ</t>
    </rPh>
    <rPh sb="59" eb="61">
      <t>アッカ</t>
    </rPh>
    <phoneticPr fontId="1"/>
  </si>
  <si>
    <t>調停構造は要求元から調停結果に向けて一方向であるべきで、
要求元同士の横のやりとりは排除する（制御独立性を悪化させない）</t>
    <rPh sb="0" eb="2">
      <t>チョウテイ</t>
    </rPh>
    <rPh sb="2" eb="4">
      <t>コウゾウ</t>
    </rPh>
    <rPh sb="5" eb="7">
      <t>ヨウキュウ</t>
    </rPh>
    <rPh sb="7" eb="8">
      <t>モト</t>
    </rPh>
    <rPh sb="10" eb="12">
      <t>チョウテイ</t>
    </rPh>
    <rPh sb="12" eb="14">
      <t>ケッカ</t>
    </rPh>
    <rPh sb="15" eb="16">
      <t>ム</t>
    </rPh>
    <rPh sb="18" eb="21">
      <t>イチホウコウ</t>
    </rPh>
    <rPh sb="29" eb="31">
      <t>ヨウキュウ</t>
    </rPh>
    <rPh sb="31" eb="32">
      <t>モト</t>
    </rPh>
    <rPh sb="32" eb="34">
      <t>ドウシ</t>
    </rPh>
    <rPh sb="35" eb="36">
      <t>ヨコ</t>
    </rPh>
    <rPh sb="42" eb="44">
      <t>ハイジョ</t>
    </rPh>
    <rPh sb="47" eb="49">
      <t>セイギョ</t>
    </rPh>
    <rPh sb="49" eb="52">
      <t>ドクリツセイ</t>
    </rPh>
    <rPh sb="53" eb="55">
      <t>アッカ</t>
    </rPh>
    <phoneticPr fontId="1"/>
  </si>
  <si>
    <t>エッジフラグの参照禁止</t>
    <rPh sb="7" eb="9">
      <t>サンショウ</t>
    </rPh>
    <rPh sb="9" eb="11">
      <t>キンシ</t>
    </rPh>
    <phoneticPr fontId="1"/>
  </si>
  <si>
    <t>こころを書く（なぜ、点検をしないといけないか）</t>
    <rPh sb="4" eb="5">
      <t>カ</t>
    </rPh>
    <rPh sb="10" eb="12">
      <t>テンケン</t>
    </rPh>
    <phoneticPr fontId="1"/>
  </si>
  <si>
    <t>参照変数と自部品のタスク優先度が異なる場合、
参照変数が同時性確保が必要なことを理解して参照すること</t>
    <rPh sb="23" eb="25">
      <t>サンショウ</t>
    </rPh>
    <rPh sb="25" eb="27">
      <t>ヘンスウ</t>
    </rPh>
    <rPh sb="28" eb="31">
      <t>ドウジセイ</t>
    </rPh>
    <rPh sb="31" eb="33">
      <t>カクホ</t>
    </rPh>
    <rPh sb="34" eb="36">
      <t>ヒツヨウ</t>
    </rPh>
    <rPh sb="40" eb="42">
      <t>リカイ</t>
    </rPh>
    <rPh sb="44" eb="46">
      <t>サンショウ</t>
    </rPh>
    <phoneticPr fontId="1"/>
  </si>
  <si>
    <t>1-1</t>
    <phoneticPr fontId="1"/>
  </si>
  <si>
    <t>1-2</t>
    <phoneticPr fontId="1"/>
  </si>
  <si>
    <t>1-5</t>
    <phoneticPr fontId="1"/>
  </si>
  <si>
    <t>1-6</t>
    <phoneticPr fontId="1"/>
  </si>
  <si>
    <t>2</t>
    <phoneticPr fontId="1"/>
  </si>
  <si>
    <t>3</t>
    <phoneticPr fontId="1"/>
  </si>
  <si>
    <t>4</t>
    <phoneticPr fontId="1"/>
  </si>
  <si>
    <t>5</t>
    <phoneticPr fontId="1"/>
  </si>
  <si>
    <t>7</t>
    <phoneticPr fontId="1"/>
  </si>
  <si>
    <t>自部品の更新周期が参照側より遅いと、参照変数が
変化したタイミングを見落とす（変化をとらえられない）可能性がある</t>
    <rPh sb="9" eb="11">
      <t>サンショウ</t>
    </rPh>
    <rPh sb="11" eb="12">
      <t>ガワ</t>
    </rPh>
    <rPh sb="18" eb="20">
      <t>サンショウ</t>
    </rPh>
    <rPh sb="20" eb="22">
      <t>ヘンスウ</t>
    </rPh>
    <rPh sb="24" eb="26">
      <t>ヘンカ</t>
    </rPh>
    <rPh sb="34" eb="36">
      <t>ミオ</t>
    </rPh>
    <rPh sb="39" eb="41">
      <t>ヘンカ</t>
    </rPh>
    <rPh sb="50" eb="53">
      <t>カノウセイ</t>
    </rPh>
    <phoneticPr fontId="1"/>
  </si>
  <si>
    <t>更新されていない参照変数の値を見て誤判定しないようにする</t>
    <rPh sb="0" eb="2">
      <t>コウシン</t>
    </rPh>
    <rPh sb="13" eb="14">
      <t>アタイ</t>
    </rPh>
    <rPh sb="15" eb="16">
      <t>ミ</t>
    </rPh>
    <rPh sb="17" eb="20">
      <t>ゴハンテイ</t>
    </rPh>
    <phoneticPr fontId="1"/>
  </si>
  <si>
    <t>マルチコア：遅れ無し～1周期遅れで参照タイミングが変わるため、
　　　　　　　遅れが発生して問題ある場合は同コアにする。
マルチマイコン：シリアル通信でRAM値受け渡しをしている分、
　　　　　　　　　通信遅れが発生する</t>
    <rPh sb="6" eb="7">
      <t>オク</t>
    </rPh>
    <rPh sb="8" eb="9">
      <t>ナ</t>
    </rPh>
    <rPh sb="12" eb="14">
      <t>シュウキ</t>
    </rPh>
    <rPh sb="14" eb="15">
      <t>オク</t>
    </rPh>
    <rPh sb="17" eb="19">
      <t>サンショウ</t>
    </rPh>
    <rPh sb="25" eb="26">
      <t>カ</t>
    </rPh>
    <rPh sb="39" eb="40">
      <t>オク</t>
    </rPh>
    <rPh sb="42" eb="44">
      <t>ハッセイ</t>
    </rPh>
    <rPh sb="46" eb="48">
      <t>モンダイ</t>
    </rPh>
    <rPh sb="50" eb="52">
      <t>バアイ</t>
    </rPh>
    <rPh sb="53" eb="54">
      <t>ドウ</t>
    </rPh>
    <phoneticPr fontId="1"/>
  </si>
  <si>
    <t>調停器に要求を出していて、同じ調停器の
他要求ＩＤを見ていないか</t>
    <rPh sb="0" eb="2">
      <t>チョウテイ</t>
    </rPh>
    <rPh sb="2" eb="3">
      <t>キ</t>
    </rPh>
    <rPh sb="4" eb="6">
      <t>ヨウキュウ</t>
    </rPh>
    <rPh sb="7" eb="8">
      <t>ダ</t>
    </rPh>
    <rPh sb="13" eb="14">
      <t>オナ</t>
    </rPh>
    <rPh sb="20" eb="21">
      <t>タ</t>
    </rPh>
    <rPh sb="21" eb="23">
      <t>ヨウキュウ</t>
    </rPh>
    <rPh sb="26" eb="27">
      <t>ミ</t>
    </rPh>
    <phoneticPr fontId="1"/>
  </si>
  <si>
    <t>・マルチコアでコア跨ぎになっても遅れは
　許容できるか
・マルチマイコンでマイコン跨ぎになっても
　遅れは許容できるか</t>
    <rPh sb="9" eb="10">
      <t>マタ</t>
    </rPh>
    <rPh sb="16" eb="17">
      <t>オク</t>
    </rPh>
    <rPh sb="21" eb="23">
      <t>キョヨウ</t>
    </rPh>
    <phoneticPr fontId="1"/>
  </si>
  <si>
    <t>同時に仕様発行予定になっていないか
公開元に確認しているか</t>
    <rPh sb="0" eb="2">
      <t>ドウジ</t>
    </rPh>
    <rPh sb="3" eb="5">
      <t>シヨウ</t>
    </rPh>
    <rPh sb="5" eb="7">
      <t>ハッコウ</t>
    </rPh>
    <rPh sb="7" eb="9">
      <t>ヨテイ</t>
    </rPh>
    <rPh sb="18" eb="20">
      <t>コウカイ</t>
    </rPh>
    <rPh sb="20" eb="21">
      <t>モト</t>
    </rPh>
    <rPh sb="22" eb="24">
      <t>カクニン</t>
    </rPh>
    <phoneticPr fontId="1"/>
  </si>
  <si>
    <t>フォルダ間の参照ルールを順守しているか
（参照可否ルール表を活用）</t>
    <rPh sb="4" eb="5">
      <t>カン</t>
    </rPh>
    <rPh sb="6" eb="8">
      <t>サンショウ</t>
    </rPh>
    <rPh sb="12" eb="14">
      <t>ジュンシュ</t>
    </rPh>
    <rPh sb="21" eb="23">
      <t>サンショウ</t>
    </rPh>
    <rPh sb="23" eb="25">
      <t>カヒ</t>
    </rPh>
    <rPh sb="28" eb="29">
      <t>ヒョウ</t>
    </rPh>
    <rPh sb="30" eb="32">
      <t>カツヨウ</t>
    </rPh>
    <phoneticPr fontId="1"/>
  </si>
  <si>
    <t>自部品で変数を参照しようとしたとき、自部品の該当ロジックが
間違った見方・使い方をしていないこと、
ルール通りに参照していることをチェックする</t>
    <rPh sb="0" eb="1">
      <t>ジ</t>
    </rPh>
    <rPh sb="1" eb="3">
      <t>ブヒン</t>
    </rPh>
    <rPh sb="4" eb="6">
      <t>ヘンスウ</t>
    </rPh>
    <rPh sb="7" eb="9">
      <t>サンショウ</t>
    </rPh>
    <rPh sb="53" eb="54">
      <t>ドオ</t>
    </rPh>
    <rPh sb="56" eb="58">
      <t>サンショウ</t>
    </rPh>
    <phoneticPr fontId="1"/>
  </si>
  <si>
    <t>・
・
・</t>
    <phoneticPr fontId="1"/>
  </si>
  <si>
    <r>
      <rPr>
        <sz val="11"/>
        <color theme="1"/>
        <rFont val="HGS創英角ﾎﾟｯﾌﾟ体"/>
        <family val="3"/>
        <charset val="128"/>
      </rPr>
      <t>（補足5）</t>
    </r>
    <r>
      <rPr>
        <sz val="11"/>
        <color theme="1"/>
        <rFont val="ＭＳ Ｐゴシック"/>
        <family val="2"/>
        <scheme val="minor"/>
      </rPr>
      <t>似たような参照変数について、
正しい変数を参照出来ているか</t>
    </r>
    <rPh sb="5" eb="6">
      <t>ニ</t>
    </rPh>
    <rPh sb="20" eb="21">
      <t>タダ</t>
    </rPh>
    <rPh sb="23" eb="25">
      <t>ヘンスウ</t>
    </rPh>
    <rPh sb="28" eb="30">
      <t>デキ</t>
    </rPh>
    <phoneticPr fontId="1"/>
  </si>
  <si>
    <r>
      <rPr>
        <sz val="11"/>
        <color theme="1"/>
        <rFont val="HGS創英角ﾎﾟｯﾌﾟ体"/>
        <family val="3"/>
        <charset val="128"/>
      </rPr>
      <t>（補足6）</t>
    </r>
    <r>
      <rPr>
        <sz val="11"/>
        <color theme="1"/>
        <rFont val="ＭＳ Ｐゴシック"/>
        <family val="2"/>
        <scheme val="minor"/>
      </rPr>
      <t>変数を複数参照する場合、同時性
確保が必要となっている変数かどうかの
確認はしたか</t>
    </r>
    <rPh sb="5" eb="7">
      <t>ヘンスウ</t>
    </rPh>
    <rPh sb="8" eb="10">
      <t>フクスウ</t>
    </rPh>
    <rPh sb="10" eb="12">
      <t>サンショウ</t>
    </rPh>
    <rPh sb="14" eb="16">
      <t>バアイ</t>
    </rPh>
    <rPh sb="17" eb="20">
      <t>ドウジセイ</t>
    </rPh>
    <rPh sb="21" eb="23">
      <t>カクホ</t>
    </rPh>
    <rPh sb="24" eb="26">
      <t>ヒツヨウ</t>
    </rPh>
    <rPh sb="32" eb="34">
      <t>ヘンスウ</t>
    </rPh>
    <rPh sb="40" eb="42">
      <t>カクニン</t>
    </rPh>
    <phoneticPr fontId="1"/>
  </si>
  <si>
    <t>6-1</t>
    <phoneticPr fontId="1"/>
  </si>
  <si>
    <t>6-2</t>
    <phoneticPr fontId="1"/>
  </si>
  <si>
    <t>マルチコアの場合に、別コアになる
参照元部品からの複数RAM参照がないか。
　ある場合は同時性保証が必要か。</t>
    <rPh sb="6" eb="8">
      <t>バアイ</t>
    </rPh>
    <phoneticPr fontId="1"/>
  </si>
  <si>
    <t>日付</t>
  </si>
  <si>
    <t>Ver.</t>
  </si>
  <si>
    <t>変更内容</t>
  </si>
  <si>
    <t>変更者</t>
  </si>
  <si>
    <t>新設</t>
    <rPh sb="0" eb="2">
      <t>シンセツ</t>
    </rPh>
    <phoneticPr fontId="12"/>
  </si>
  <si>
    <t>24F5G花井</t>
    <rPh sb="5" eb="7">
      <t>ハナイ</t>
    </rPh>
    <phoneticPr fontId="1"/>
  </si>
  <si>
    <t>6-2：マルチコアの同時性保証要否を追加</t>
    <rPh sb="10" eb="13">
      <t>ドウジセイ</t>
    </rPh>
    <rPh sb="13" eb="15">
      <t>ホショウ</t>
    </rPh>
    <rPh sb="15" eb="17">
      <t>ヨウヒ</t>
    </rPh>
    <rPh sb="18" eb="20">
      <t>ツイカ</t>
    </rPh>
    <phoneticPr fontId="1"/>
  </si>
  <si>
    <t>コアをまたいだ部品間で、同時性保証が必要な複数RAM参照がある場合は
コア間排他を考慮したRAMの受け渡しが必要</t>
    <rPh sb="7" eb="9">
      <t>ブヒン</t>
    </rPh>
    <rPh sb="9" eb="10">
      <t>カン</t>
    </rPh>
    <rPh sb="12" eb="15">
      <t>ドウジセイ</t>
    </rPh>
    <rPh sb="15" eb="17">
      <t>ホショウ</t>
    </rPh>
    <rPh sb="18" eb="20">
      <t>ヒツヨウ</t>
    </rPh>
    <rPh sb="21" eb="23">
      <t>フクスウ</t>
    </rPh>
    <rPh sb="26" eb="28">
      <t>サンショウ</t>
    </rPh>
    <rPh sb="31" eb="33">
      <t>バアイ</t>
    </rPh>
    <rPh sb="37" eb="38">
      <t>カン</t>
    </rPh>
    <rPh sb="38" eb="40">
      <t>ハイタ</t>
    </rPh>
    <rPh sb="41" eb="43">
      <t>コウリョ</t>
    </rPh>
    <rPh sb="49" eb="50">
      <t>ウ</t>
    </rPh>
    <rPh sb="51" eb="52">
      <t>ワタ</t>
    </rPh>
    <rPh sb="54" eb="56">
      <t>ヒツヨウ</t>
    </rPh>
    <phoneticPr fontId="1"/>
  </si>
  <si>
    <t>ver1.00</t>
    <phoneticPr fontId="12"/>
  </si>
  <si>
    <t>ver2.00</t>
    <phoneticPr fontId="12"/>
  </si>
  <si>
    <t>参照変数名</t>
    <rPh sb="0" eb="2">
      <t>サンショウ</t>
    </rPh>
    <rPh sb="2" eb="4">
      <t>ヘンスウ</t>
    </rPh>
    <rPh sb="4" eb="5">
      <t>メイ</t>
    </rPh>
    <phoneticPr fontId="1"/>
  </si>
  <si>
    <t>ver2.01</t>
    <phoneticPr fontId="12"/>
  </si>
  <si>
    <t>確認欄と参照変数のNoを廃止</t>
    <rPh sb="0" eb="2">
      <t>カクニン</t>
    </rPh>
    <rPh sb="2" eb="3">
      <t>ラン</t>
    </rPh>
    <rPh sb="4" eb="6">
      <t>サンショウ</t>
    </rPh>
    <rPh sb="6" eb="8">
      <t>ヘンスウ</t>
    </rPh>
    <rPh sb="12" eb="14">
      <t>ハイシ</t>
    </rPh>
    <phoneticPr fontId="1"/>
  </si>
  <si>
    <t>24F5G郷</t>
    <rPh sb="5" eb="6">
      <t>ゴウ</t>
    </rPh>
    <phoneticPr fontId="1"/>
  </si>
  <si>
    <t>チェック結果(判断理由)</t>
    <rPh sb="4" eb="6">
      <t>ケッカ</t>
    </rPh>
    <rPh sb="7" eb="9">
      <t>ハンダン</t>
    </rPh>
    <rPh sb="9" eb="11">
      <t>リユウ</t>
    </rPh>
    <phoneticPr fontId="1"/>
  </si>
  <si>
    <t>３．補足資料</t>
    <rPh sb="2" eb="4">
      <t>ホソク</t>
    </rPh>
    <rPh sb="4" eb="6">
      <t>シリョウ</t>
    </rPh>
    <phoneticPr fontId="1"/>
  </si>
  <si>
    <t>６．補足資料</t>
    <rPh sb="2" eb="4">
      <t>ホソク</t>
    </rPh>
    <rPh sb="4" eb="6">
      <t>シリョウ</t>
    </rPh>
    <phoneticPr fontId="1"/>
  </si>
  <si>
    <t>１－１．補足資料</t>
    <rPh sb="4" eb="6">
      <t>ホソク</t>
    </rPh>
    <rPh sb="6" eb="8">
      <t>シリョウ</t>
    </rPh>
    <phoneticPr fontId="1"/>
  </si>
  <si>
    <t xml:space="preserve">・参照変数：4msm更新、自部品：64msl更新により、
　参照変数のON→OFF→ONのような変化をとらえられない
・噴射モードの算出を65ms低、噴射時期の算出を8ms低処理タイミングで実施
　eminjの調停が8m中処理タイミングの場合、噴射モードと噴射時期の同時性
　が保たれない（1-1.補足資料参照)
</t>
    <rPh sb="1" eb="3">
      <t>サンショウ</t>
    </rPh>
    <rPh sb="3" eb="5">
      <t>ヘンスウ</t>
    </rPh>
    <rPh sb="10" eb="12">
      <t>コウシン</t>
    </rPh>
    <rPh sb="13" eb="14">
      <t>ジ</t>
    </rPh>
    <rPh sb="14" eb="16">
      <t>ブヒン</t>
    </rPh>
    <rPh sb="22" eb="24">
      <t>コウシン</t>
    </rPh>
    <rPh sb="30" eb="32">
      <t>サンショウ</t>
    </rPh>
    <rPh sb="32" eb="34">
      <t>ヘンスウ</t>
    </rPh>
    <rPh sb="48" eb="50">
      <t>ヘンカ</t>
    </rPh>
    <rPh sb="60" eb="62">
      <t>フンシャ</t>
    </rPh>
    <rPh sb="66" eb="68">
      <t>サンシュツ</t>
    </rPh>
    <rPh sb="73" eb="74">
      <t>テイ</t>
    </rPh>
    <rPh sb="75" eb="77">
      <t>フンシャ</t>
    </rPh>
    <rPh sb="77" eb="79">
      <t>ジキ</t>
    </rPh>
    <rPh sb="80" eb="82">
      <t>サンシュツ</t>
    </rPh>
    <rPh sb="86" eb="87">
      <t>テイ</t>
    </rPh>
    <rPh sb="87" eb="89">
      <t>ショリ</t>
    </rPh>
    <rPh sb="95" eb="97">
      <t>ジッシ</t>
    </rPh>
    <rPh sb="105" eb="107">
      <t>チョウテイ</t>
    </rPh>
    <rPh sb="110" eb="111">
      <t>チュウ</t>
    </rPh>
    <rPh sb="111" eb="113">
      <t>ショリ</t>
    </rPh>
    <rPh sb="119" eb="121">
      <t>バアイ</t>
    </rPh>
    <rPh sb="122" eb="124">
      <t>フンシャ</t>
    </rPh>
    <rPh sb="128" eb="130">
      <t>フンシャ</t>
    </rPh>
    <rPh sb="130" eb="132">
      <t>ジキ</t>
    </rPh>
    <rPh sb="133" eb="136">
      <t>ドウジセイ</t>
    </rPh>
    <rPh sb="139" eb="140">
      <t>タモ</t>
    </rPh>
    <rPh sb="149" eb="151">
      <t>ホソク</t>
    </rPh>
    <rPh sb="151" eb="153">
      <t>シリョウ</t>
    </rPh>
    <rPh sb="153" eb="155">
      <t>サンショウ</t>
    </rPh>
    <phoneticPr fontId="1"/>
  </si>
  <si>
    <t>Ver2.02</t>
    <phoneticPr fontId="1"/>
  </si>
  <si>
    <t>参照元チェックリストの説明追加(1-1.)</t>
    <rPh sb="13" eb="15">
      <t>ツイカ</t>
    </rPh>
    <phoneticPr fontId="1"/>
  </si>
  <si>
    <t>24F5G杉本</t>
    <rPh sb="5" eb="7">
      <t>スギモト</t>
    </rPh>
    <phoneticPr fontId="1"/>
  </si>
  <si>
    <t>6</t>
    <phoneticPr fontId="1"/>
  </si>
  <si>
    <t>Project/EM/GE/標準/標準関係帳票・資料/標準仕様雛型一式/30_マルチコア関連</t>
  </si>
  <si>
    <t>・各部品のコア配置は以下の資料を参照</t>
    <rPh sb="1" eb="4">
      <t>カクブヒン</t>
    </rPh>
    <rPh sb="7" eb="9">
      <t>ハイチ</t>
    </rPh>
    <rPh sb="10" eb="12">
      <t>イカ</t>
    </rPh>
    <rPh sb="13" eb="15">
      <t>シリョウ</t>
    </rPh>
    <rPh sb="16" eb="18">
      <t>サンショウ</t>
    </rPh>
    <phoneticPr fontId="1"/>
  </si>
  <si>
    <t>・マルチコア関連のルールは以下を参照</t>
    <rPh sb="6" eb="8">
      <t>カンレン</t>
    </rPh>
    <rPh sb="13" eb="15">
      <t>イカ</t>
    </rPh>
    <rPh sb="16" eb="18">
      <t>サンショウ</t>
    </rPh>
    <phoneticPr fontId="1"/>
  </si>
  <si>
    <t>※マトリクスには8コアまでのコア配置が記載されているが、</t>
    <rPh sb="16" eb="18">
      <t>ハイチ</t>
    </rPh>
    <rPh sb="19" eb="21">
      <t>キサイ</t>
    </rPh>
    <phoneticPr fontId="1"/>
  </si>
  <si>
    <t>マルチコアに関する検討が漏れないように、新規IF参照時はコア配置が分かれるかを必ず確認すること</t>
    <rPh sb="6" eb="7">
      <t>カン</t>
    </rPh>
    <rPh sb="9" eb="11">
      <t>ケントウ</t>
    </rPh>
    <rPh sb="12" eb="13">
      <t>モ</t>
    </rPh>
    <rPh sb="20" eb="22">
      <t>シンキ</t>
    </rPh>
    <rPh sb="24" eb="27">
      <t>サンショウジ</t>
    </rPh>
    <rPh sb="30" eb="32">
      <t>ハイチ</t>
    </rPh>
    <rPh sb="33" eb="34">
      <t>ワ</t>
    </rPh>
    <rPh sb="39" eb="40">
      <t>カナラ</t>
    </rPh>
    <rPh sb="41" eb="43">
      <t>カクニン</t>
    </rPh>
    <phoneticPr fontId="1"/>
  </si>
  <si>
    <t>マルチコア時に別コアからの参照となるか？</t>
    <rPh sb="5" eb="6">
      <t>ジ</t>
    </rPh>
    <rPh sb="7" eb="8">
      <t>ベツ</t>
    </rPh>
    <rPh sb="13" eb="15">
      <t>サンショウ</t>
    </rPh>
    <phoneticPr fontId="1"/>
  </si>
  <si>
    <t xml:space="preserve"> 今後の標準としては、エンジンアプリがメイン/サブで分かれる配置となる</t>
    <rPh sb="1" eb="3">
      <t>コンゴ</t>
    </rPh>
    <rPh sb="4" eb="6">
      <t>ヒョウジュン</t>
    </rPh>
    <rPh sb="26" eb="27">
      <t>ワ</t>
    </rPh>
    <rPh sb="30" eb="32">
      <t>ハイチ</t>
    </rPh>
    <phoneticPr fontId="1"/>
  </si>
  <si>
    <t xml:space="preserve"> 予定はないため検討不要。</t>
    <phoneticPr fontId="1"/>
  </si>
  <si>
    <t xml:space="preserve"> 他ドメインからの参照については適宜検討必要。</t>
    <rPh sb="1" eb="2">
      <t>ホカ</t>
    </rPh>
    <rPh sb="9" eb="11">
      <t>サンショウ</t>
    </rPh>
    <rPh sb="16" eb="18">
      <t>テキギ</t>
    </rPh>
    <rPh sb="18" eb="22">
      <t>ケントウヒツヨウ</t>
    </rPh>
    <phoneticPr fontId="1"/>
  </si>
  <si>
    <t>・マルチマイコンについて、エンジンドメイン内は現状L3-Tのみで検討必要。</t>
    <rPh sb="21" eb="22">
      <t>ナイ</t>
    </rPh>
    <rPh sb="23" eb="25">
      <t>ゲンジョウ</t>
    </rPh>
    <rPh sb="32" eb="34">
      <t>ケントウ</t>
    </rPh>
    <rPh sb="34" eb="36">
      <t>ヒツヨウ</t>
    </rPh>
    <phoneticPr fontId="1"/>
  </si>
  <si>
    <t xml:space="preserve">   標準仕様発行時には2コアまでの検討で問題なし。</t>
    <rPh sb="21" eb="23">
      <t>モンダイ</t>
    </rPh>
    <phoneticPr fontId="1"/>
  </si>
  <si>
    <t>mng部品で処理順序を管理してしなければならない部品群がコア跨ぎで
配置されることに気が付かず仕様発行したヒヤリ事例あり。処理順指示が
必要な部品は同一コアに配置する必要があるため注意すること。</t>
    <rPh sb="3" eb="5">
      <t>ブヒン</t>
    </rPh>
    <rPh sb="6" eb="10">
      <t>ショリジュンジョ</t>
    </rPh>
    <rPh sb="11" eb="13">
      <t>カンリ</t>
    </rPh>
    <rPh sb="24" eb="26">
      <t>ブヒン</t>
    </rPh>
    <rPh sb="26" eb="27">
      <t>グン</t>
    </rPh>
    <rPh sb="30" eb="31">
      <t>マタ</t>
    </rPh>
    <rPh sb="34" eb="36">
      <t>ハイチ</t>
    </rPh>
    <rPh sb="42" eb="43">
      <t>キ</t>
    </rPh>
    <rPh sb="44" eb="45">
      <t>ツ</t>
    </rPh>
    <rPh sb="47" eb="49">
      <t>シヨウ</t>
    </rPh>
    <rPh sb="49" eb="51">
      <t>ハッコウ</t>
    </rPh>
    <rPh sb="56" eb="58">
      <t>ジレイ</t>
    </rPh>
    <rPh sb="61" eb="67">
      <t>ショリジュ</t>
    </rPh>
    <rPh sb="68" eb="70">
      <t>ヒツヨウ</t>
    </rPh>
    <rPh sb="71" eb="73">
      <t>ブヒン</t>
    </rPh>
    <rPh sb="74" eb="76">
      <t>ドウイツ</t>
    </rPh>
    <rPh sb="79" eb="81">
      <t>ハイチ</t>
    </rPh>
    <rPh sb="83" eb="85">
      <t>ヒツヨウ</t>
    </rPh>
    <rPh sb="90" eb="92">
      <t>チュウイ</t>
    </rPh>
    <phoneticPr fontId="1"/>
  </si>
  <si>
    <t>0</t>
    <phoneticPr fontId="1"/>
  </si>
  <si>
    <r>
      <t xml:space="preserve">IF不整合が起きないか。
</t>
    </r>
    <r>
      <rPr>
        <sz val="9"/>
        <rFont val="ＭＳ Ｐゴシック"/>
        <family val="3"/>
        <charset val="128"/>
        <scheme val="minor"/>
      </rPr>
      <t>コンパイルSWが参照元と整合しているか（部品コンパイルSWと処理にかかっているコンパイルSWも確認）</t>
    </r>
    <rPh sb="2" eb="5">
      <t>フセイゴウ</t>
    </rPh>
    <rPh sb="6" eb="7">
      <t>オ</t>
    </rPh>
    <phoneticPr fontId="1"/>
  </si>
  <si>
    <t>参照変数を狙い通りのタイミングで参照する為に、最低限考えること</t>
    <phoneticPr fontId="1"/>
  </si>
  <si>
    <t>コンパイルSWによるIF不整合が発生しないようにする。</t>
    <rPh sb="12" eb="15">
      <t>フセイゴウ</t>
    </rPh>
    <rPh sb="16" eb="18">
      <t>ハッセイ</t>
    </rPh>
    <phoneticPr fontId="1"/>
  </si>
  <si>
    <t>初心者の方が参照IFのepatm_epatmについて【HAC有】の記載できず。ワード仕様の部品コンパイルSWを見逃し。DDでも抽出できない。</t>
    <rPh sb="0" eb="3">
      <t>ショシンシャ</t>
    </rPh>
    <rPh sb="4" eb="5">
      <t>カタ</t>
    </rPh>
    <rPh sb="6" eb="8">
      <t>サンショウ</t>
    </rPh>
    <rPh sb="30" eb="31">
      <t>アリ</t>
    </rPh>
    <rPh sb="33" eb="35">
      <t>キサイ</t>
    </rPh>
    <rPh sb="42" eb="44">
      <t>シヨウ</t>
    </rPh>
    <rPh sb="45" eb="47">
      <t>ブヒン</t>
    </rPh>
    <rPh sb="55" eb="57">
      <t>ミノガ</t>
    </rPh>
    <rPh sb="63" eb="65">
      <t>チュウシュツ</t>
    </rPh>
    <phoneticPr fontId="1"/>
  </si>
  <si>
    <t>Ver2.03</t>
    <phoneticPr fontId="1"/>
  </si>
  <si>
    <t>24F5G内藤</t>
    <rPh sb="5" eb="7">
      <t>ナイトウ</t>
    </rPh>
    <phoneticPr fontId="1"/>
  </si>
  <si>
    <t>0:コンパイルSW不整合に関する観点
6:マルチコアに関する観点
を追加。「参照先チェックリストの説明」シート加筆</t>
    <rPh sb="9" eb="12">
      <t>フセイゴウ</t>
    </rPh>
    <rPh sb="13" eb="14">
      <t>カン</t>
    </rPh>
    <rPh sb="16" eb="18">
      <t>カンテン</t>
    </rPh>
    <rPh sb="27" eb="28">
      <t>カン</t>
    </rPh>
    <rPh sb="30" eb="32">
      <t>カンテン</t>
    </rPh>
    <rPh sb="34" eb="36">
      <t>ツイカ</t>
    </rPh>
    <rPh sb="38" eb="41">
      <t>サンショウサキ</t>
    </rPh>
    <rPh sb="49" eb="51">
      <t>セツメイ</t>
    </rPh>
    <rPh sb="55" eb="57">
      <t>カヒツ</t>
    </rPh>
    <phoneticPr fontId="1"/>
  </si>
  <si>
    <t>IG-ON→OFF時、参照元ECUのIGが先に落ち、通信途絶によりフェール値に
移行しても、問題ないよう設計されているか。
IG-OFF→ON時、通信開始されるまでの間は、初期値のままとなるが、
問題ないよう設計されているか。</t>
    <phoneticPr fontId="1"/>
  </si>
  <si>
    <t>Ver2.04</t>
    <phoneticPr fontId="1"/>
  </si>
  <si>
    <t>24F5G加地</t>
    <rPh sb="5" eb="7">
      <t>カチ</t>
    </rPh>
    <phoneticPr fontId="1"/>
  </si>
  <si>
    <t>「参照元チェックリストの説明」シート修正。
・位置付けの図を削除。
・他ドメインの仕様書・データマスターシートの場所を追記。
・1-4に事例を追記。</t>
    <rPh sb="3" eb="4">
      <t>モト</t>
    </rPh>
    <rPh sb="23" eb="26">
      <t>イチヅ</t>
    </rPh>
    <rPh sb="28" eb="29">
      <t>ズ</t>
    </rPh>
    <rPh sb="30" eb="32">
      <t>サクジョ</t>
    </rPh>
    <rPh sb="35" eb="36">
      <t>ホカ</t>
    </rPh>
    <rPh sb="41" eb="44">
      <t>シヨウショ</t>
    </rPh>
    <rPh sb="56" eb="58">
      <t>バショ</t>
    </rPh>
    <rPh sb="59" eb="61">
      <t>ツイキ</t>
    </rPh>
    <rPh sb="68" eb="70">
      <t>ジレイ</t>
    </rPh>
    <rPh sb="71" eb="73">
      <t>ツイキ</t>
    </rPh>
    <phoneticPr fontId="1"/>
  </si>
  <si>
    <t>◎</t>
    <phoneticPr fontId="24"/>
  </si>
  <si>
    <t>◎新規IF, ○本部品での参照が初, ●参照方法変更</t>
  </si>
  <si>
    <t>Ver2.05</t>
    <phoneticPr fontId="1"/>
  </si>
  <si>
    <t>24F5G加地
24F5G村上</t>
    <rPh sb="13" eb="15">
      <t>ムラカミ</t>
    </rPh>
    <phoneticPr fontId="1"/>
  </si>
  <si>
    <r>
      <t>・参照変数名をロジ変シート</t>
    </r>
    <r>
      <rPr>
        <sz val="9"/>
        <rFont val="ＭＳ Ｐゴシック"/>
        <family val="3"/>
        <charset val="128"/>
      </rPr>
      <t>（１０－１．変化点に対する参照元チェック）</t>
    </r>
    <r>
      <rPr>
        <sz val="12"/>
        <rFont val="ＭＳ Ｐゴシック"/>
        <family val="3"/>
        <charset val="128"/>
      </rPr>
      <t xml:space="preserve">
　の表からコピー＆ペーストできるようフォーマット修正
・0:コンパイルSW不整合に関する観点の行下に罫線追加
・「参照元チェックリストの説明」シート 窓口担当追記</t>
    </r>
    <rPh sb="9" eb="10">
      <t>ヘン</t>
    </rPh>
    <rPh sb="37" eb="38">
      <t>ヒョウ</t>
    </rPh>
    <rPh sb="59" eb="61">
      <t>シュウセイ</t>
    </rPh>
    <rPh sb="82" eb="83">
      <t>ギョウ</t>
    </rPh>
    <rPh sb="83" eb="84">
      <t>シタ</t>
    </rPh>
    <rPh sb="85" eb="87">
      <t>ケイセン</t>
    </rPh>
    <rPh sb="87" eb="89">
      <t>ツイカ</t>
    </rPh>
    <rPh sb="110" eb="112">
      <t>マドグチ</t>
    </rPh>
    <rPh sb="112" eb="114">
      <t>タントウ</t>
    </rPh>
    <rPh sb="114" eb="116">
      <t>ツイキ</t>
    </rPh>
    <phoneticPr fontId="1"/>
  </si>
  <si>
    <t>eakg_eagknkrp</t>
    <phoneticPr fontId="24"/>
  </si>
  <si>
    <t>チェック結果(判断理由)</t>
    <rPh sb="4" eb="6">
      <t>ケッカ</t>
    </rPh>
    <rPh sb="7" eb="9">
      <t>ハンダン</t>
    </rPh>
    <rPh sb="9" eb="11">
      <t>リユウ</t>
    </rPh>
    <phoneticPr fontId="12"/>
  </si>
  <si>
    <t>更新周期16msl
参照周期8msm
参照周期の方が細かく問題なし</t>
    <rPh sb="0" eb="4">
      <t>コウシンシュウキ</t>
    </rPh>
    <rPh sb="10" eb="14">
      <t>サンショウシュウキ</t>
    </rPh>
    <rPh sb="29" eb="31">
      <t>モンダイ</t>
    </rPh>
    <phoneticPr fontId="12"/>
  </si>
  <si>
    <t>1周期遅れだが、機敏に変化する変数でないうえ、8msでの変化も求めていないため問題なし</t>
    <rPh sb="1" eb="4">
      <t>シュウキオク</t>
    </rPh>
    <rPh sb="8" eb="10">
      <t>キビン</t>
    </rPh>
    <rPh sb="11" eb="13">
      <t>ヘンカ</t>
    </rPh>
    <rPh sb="15" eb="17">
      <t>ヘンスウ</t>
    </rPh>
    <rPh sb="28" eb="30">
      <t>ヘンカ</t>
    </rPh>
    <rPh sb="31" eb="32">
      <t>モト</t>
    </rPh>
    <rPh sb="39" eb="41">
      <t>モンダイ</t>
    </rPh>
    <phoneticPr fontId="12"/>
  </si>
  <si>
    <t>運転領域等によって変化するeakg_eagknkx（ﾉｯｸ補正学習値（反映値））ではなく、代表平均値を参照したく、正しい変数参照できている</t>
    <rPh sb="0" eb="4">
      <t>ウンテンリョウイキ</t>
    </rPh>
    <rPh sb="4" eb="5">
      <t>トウ</t>
    </rPh>
    <rPh sb="9" eb="11">
      <t>ヘンカ</t>
    </rPh>
    <rPh sb="29" eb="31">
      <t>ホセイ</t>
    </rPh>
    <rPh sb="31" eb="34">
      <t>ガクシュウチ</t>
    </rPh>
    <rPh sb="35" eb="38">
      <t>ハンエイチ</t>
    </rPh>
    <rPh sb="45" eb="50">
      <t>ダイヒョウヘイキンチ</t>
    </rPh>
    <rPh sb="51" eb="53">
      <t>サンショウ</t>
    </rPh>
    <rPh sb="57" eb="58">
      <t>タダ</t>
    </rPh>
    <rPh sb="60" eb="62">
      <t>ヘンスウ</t>
    </rPh>
    <rPh sb="62" eb="64">
      <t>サンショウ</t>
    </rPh>
    <phoneticPr fontId="12"/>
  </si>
  <si>
    <t>複数参照なし</t>
    <rPh sb="0" eb="4">
      <t>フクスウサンショウ</t>
    </rPh>
    <phoneticPr fontId="12"/>
  </si>
  <si>
    <t>etran→efunc参照であるが、自身の要求を含んだｱｸﾁｭｴｰﾀ制御量を参照しているわけではなく、機敏には動かない学習値の代表平均値を参照しており問題なし</t>
    <rPh sb="11" eb="13">
      <t>サンショウ</t>
    </rPh>
    <rPh sb="18" eb="20">
      <t>ジシン</t>
    </rPh>
    <rPh sb="21" eb="23">
      <t>ヨウキュウ</t>
    </rPh>
    <rPh sb="24" eb="25">
      <t>フク</t>
    </rPh>
    <rPh sb="34" eb="37">
      <t>セイギョリョウ</t>
    </rPh>
    <rPh sb="38" eb="40">
      <t>サンショウ</t>
    </rPh>
    <rPh sb="51" eb="53">
      <t>キビン</t>
    </rPh>
    <rPh sb="55" eb="56">
      <t>ウゴ</t>
    </rPh>
    <rPh sb="59" eb="62">
      <t>ガクシュウチ</t>
    </rPh>
    <rPh sb="63" eb="68">
      <t>ダイヒョウヘイキンチ</t>
    </rPh>
    <rPh sb="69" eb="71">
      <t>サンショウ</t>
    </rPh>
    <rPh sb="75" eb="77">
      <t>モンダイ</t>
    </rPh>
    <phoneticPr fontId="12"/>
  </si>
  <si>
    <t>エッジフラグでない</t>
    <phoneticPr fontId="12"/>
  </si>
  <si>
    <t>モード、パターン、ステップでない</t>
    <phoneticPr fontId="12"/>
  </si>
  <si>
    <t>emklgdの他要求ＩＤを見ていない</t>
    <phoneticPr fontId="12"/>
  </si>
  <si>
    <t>問題なし</t>
    <rPh sb="0" eb="2">
      <t>モンダイ</t>
    </rPh>
    <phoneticPr fontId="12"/>
  </si>
  <si>
    <t>同時発行予定なし</t>
    <rPh sb="0" eb="2">
      <t>ドウジ</t>
    </rPh>
    <rPh sb="2" eb="6">
      <t>ハッコウヨテイ</t>
    </rPh>
    <phoneticPr fontId="12"/>
  </si>
  <si>
    <t>ethaim_exthaimf</t>
    <phoneticPr fontId="24"/>
  </si>
  <si>
    <t>更新周期65ms
参照周期8msm
参照周期の方が細かく問題なし</t>
    <rPh sb="0" eb="4">
      <t>コウシンシュウキ</t>
    </rPh>
    <rPh sb="9" eb="13">
      <t>サンショウシュウキ</t>
    </rPh>
    <rPh sb="28" eb="30">
      <t>モンダイ</t>
    </rPh>
    <phoneticPr fontId="12"/>
  </si>
  <si>
    <t>常時更新</t>
    <rPh sb="0" eb="4">
      <t>ジョウジコウシン</t>
    </rPh>
    <phoneticPr fontId="12"/>
  </si>
  <si>
    <t>1周期遅れでない</t>
    <rPh sb="1" eb="4">
      <t>シュウキオク</t>
    </rPh>
    <phoneticPr fontId="12"/>
  </si>
  <si>
    <t>過給器有無によって切り替える前のetha_ethafとethim_ethimfと区別できており問題なし</t>
    <rPh sb="14" eb="15">
      <t>マエ</t>
    </rPh>
    <phoneticPr fontId="12"/>
  </si>
  <si>
    <t>複数参照あり
ﾌｪｲﾙ時には吸気温を定数に切り替えるのみのため同時性保証不要</t>
    <rPh sb="0" eb="4">
      <t>フクスウサンショウ</t>
    </rPh>
    <rPh sb="11" eb="12">
      <t>ジ</t>
    </rPh>
    <rPh sb="14" eb="16">
      <t>キュウキ</t>
    </rPh>
    <rPh sb="16" eb="17">
      <t>オン</t>
    </rPh>
    <rPh sb="18" eb="20">
      <t>ジョウスウ</t>
    </rPh>
    <rPh sb="21" eb="22">
      <t>キ</t>
    </rPh>
    <rPh sb="23" eb="24">
      <t>カ</t>
    </rPh>
    <rPh sb="31" eb="33">
      <t>ドウジ</t>
    </rPh>
    <rPh sb="33" eb="34">
      <t>セイ</t>
    </rPh>
    <rPh sb="34" eb="36">
      <t>ホショウ</t>
    </rPh>
    <rPh sb="36" eb="38">
      <t>フヨウ</t>
    </rPh>
    <phoneticPr fontId="12"/>
  </si>
  <si>
    <t>estate→efunc参照で問題なし</t>
    <rPh sb="12" eb="14">
      <t>サンショウ</t>
    </rPh>
    <rPh sb="15" eb="17">
      <t>モンダイ</t>
    </rPh>
    <phoneticPr fontId="12"/>
  </si>
  <si>
    <t>燃料性状によって変化する、学習値の平均代表値であり、意図通りの参照で問題なし</t>
    <rPh sb="0" eb="4">
      <t>ネンリョウセイジョウ</t>
    </rPh>
    <rPh sb="8" eb="10">
      <t>ヘンカ</t>
    </rPh>
    <rPh sb="13" eb="16">
      <t>ガクシュウチ</t>
    </rPh>
    <rPh sb="17" eb="22">
      <t>ヘイキンダイヒョウチ</t>
    </rPh>
    <rPh sb="26" eb="29">
      <t>イトドオ</t>
    </rPh>
    <rPh sb="31" eb="33">
      <t>サンショウ</t>
    </rPh>
    <rPh sb="34" eb="36">
      <t>モンダイ</t>
    </rPh>
    <phoneticPr fontId="12"/>
  </si>
  <si>
    <t>・vdg_esimkcsklgd_8msm_cal</t>
    <rPh sb="4" eb="6">
      <t>ホセイ</t>
    </rPh>
    <phoneticPr fontId="12"/>
  </si>
  <si>
    <t>・vdg_esimkcsklgd_8msm_cal</t>
    <phoneticPr fontId="12"/>
  </si>
  <si>
    <t>吸気温ｾﾝｻﾌｪｲﾙ時にONとなるフラグであり、意図通りの参照で問題なし</t>
    <rPh sb="0" eb="3">
      <t>キュウキオン</t>
    </rPh>
    <rPh sb="10" eb="11">
      <t>ジ</t>
    </rPh>
    <phoneticPr fontId="12"/>
  </si>
  <si>
    <t>部品名をバージョン含めて記載</t>
    <rPh sb="0" eb="3">
      <t>ブヒンメイ</t>
    </rPh>
    <rPh sb="9" eb="10">
      <t>フク</t>
    </rPh>
    <rPh sb="12" eb="14">
      <t>キサイ</t>
    </rPh>
    <phoneticPr fontId="1"/>
  </si>
  <si>
    <t>公開：core0
参照：core0
別コアの参照とならない</t>
    <rPh sb="0" eb="2">
      <t>コウカイ</t>
    </rPh>
    <rPh sb="9" eb="11">
      <t>サンショウ</t>
    </rPh>
    <rPh sb="18" eb="19">
      <t>ベツ</t>
    </rPh>
    <rPh sb="22" eb="24">
      <t>サンショウ</t>
    </rPh>
    <phoneticPr fontId="12"/>
  </si>
  <si>
    <t>※注意：本シートはあくまで記入例（書きっぷり）を示す記入例の為、色々な部品からの変数を集約しています。また、記載されている内容に関しては最新でない可能性があります。</t>
    <rPh sb="1" eb="3">
      <t>チュウイ</t>
    </rPh>
    <rPh sb="4" eb="5">
      <t>ホン</t>
    </rPh>
    <rPh sb="13" eb="16">
      <t>キニュウレイ</t>
    </rPh>
    <rPh sb="17" eb="18">
      <t>カ</t>
    </rPh>
    <rPh sb="24" eb="25">
      <t>シメ</t>
    </rPh>
    <rPh sb="26" eb="29">
      <t>キニュウレイ</t>
    </rPh>
    <rPh sb="30" eb="31">
      <t>タメ</t>
    </rPh>
    <rPh sb="32" eb="34">
      <t>イロイロ</t>
    </rPh>
    <rPh sb="35" eb="37">
      <t>ブヒン</t>
    </rPh>
    <rPh sb="40" eb="42">
      <t>ヘンスウ</t>
    </rPh>
    <rPh sb="43" eb="45">
      <t>シュウヤク</t>
    </rPh>
    <rPh sb="54" eb="56">
      <t>キサイ</t>
    </rPh>
    <rPh sb="61" eb="63">
      <t>ナイヨウ</t>
    </rPh>
    <rPh sb="64" eb="65">
      <t>カン</t>
    </rPh>
    <rPh sb="68" eb="70">
      <t>サイシン</t>
    </rPh>
    <rPh sb="73" eb="76">
      <t>カノウセイ</t>
    </rPh>
    <phoneticPr fontId="1"/>
  </si>
  <si>
    <t xml:space="preserve"> eknkf_exkcstf（KCSｼｽﾃﾑ本異常）またはenef_exneprcl（NE信号精度低下状態ﾌﾗｸﾞ）がONの時、更新されないが、1-4に記載の通り対策済みで問題なし。
</t>
    <rPh sb="22" eb="23">
      <t>ホン</t>
    </rPh>
    <rPh sb="23" eb="25">
      <t>イジョウ</t>
    </rPh>
    <rPh sb="45" eb="47">
      <t>シンゴウ</t>
    </rPh>
    <rPh sb="47" eb="49">
      <t>セイド</t>
    </rPh>
    <rPh sb="49" eb="51">
      <t>テイカ</t>
    </rPh>
    <rPh sb="51" eb="53">
      <t>ジョウタイ</t>
    </rPh>
    <rPh sb="62" eb="63">
      <t>、</t>
    </rPh>
    <rPh sb="63" eb="69">
      <t>コウシンサレナイ</t>
    </rPh>
    <rPh sb="76" eb="78">
      <t>キサイ</t>
    </rPh>
    <rPh sb="79" eb="80">
      <t>トオ</t>
    </rPh>
    <rPh sb="82" eb="84">
      <t>ズミ</t>
    </rPh>
    <rPh sb="86" eb="88">
      <t>モンダイ</t>
    </rPh>
    <phoneticPr fontId="12"/>
  </si>
  <si>
    <t>公開：core0
参照：core1
別コアの参照となる</t>
    <rPh sb="0" eb="2">
      <t>コウカイ</t>
    </rPh>
    <rPh sb="9" eb="11">
      <t>サンショウ</t>
    </rPh>
    <rPh sb="18" eb="19">
      <t>ベツ</t>
    </rPh>
    <rPh sb="22" eb="24">
      <t>サンショウ</t>
    </rPh>
    <phoneticPr fontId="12"/>
  </si>
  <si>
    <t>機敏には動かない学習値の代表平均値であるため、遅れ許容できる</t>
    <rPh sb="0" eb="2">
      <t>キビン</t>
    </rPh>
    <rPh sb="4" eb="5">
      <t>ウゴ</t>
    </rPh>
    <rPh sb="8" eb="10">
      <t>ガクシュウ</t>
    </rPh>
    <rPh sb="10" eb="11">
      <t>チ</t>
    </rPh>
    <rPh sb="12" eb="14">
      <t>ダイヒョウ</t>
    </rPh>
    <rPh sb="14" eb="17">
      <t>ヘイキンチ</t>
    </rPh>
    <rPh sb="23" eb="24">
      <t>オク</t>
    </rPh>
    <rPh sb="25" eb="27">
      <t>キョヨウ</t>
    </rPh>
    <phoneticPr fontId="12"/>
  </si>
  <si>
    <t>emnegd_CATOTPDL_MXSLOK</t>
    <phoneticPr fontId="24"/>
  </si>
  <si>
    <t>燃料希釈時の要求下限回転数の調停許可値として意図通りのため問題なし。</t>
    <rPh sb="0" eb="4">
      <t>ネンリョウキシャク</t>
    </rPh>
    <rPh sb="22" eb="25">
      <t>イトドオ</t>
    </rPh>
    <rPh sb="29" eb="31">
      <t>モンダイ</t>
    </rPh>
    <phoneticPr fontId="1"/>
  </si>
  <si>
    <t>定数の為、対象外。</t>
    <rPh sb="0" eb="2">
      <t>ジョウスウ</t>
    </rPh>
    <rPh sb="3" eb="4">
      <t>タメ</t>
    </rPh>
    <rPh sb="5" eb="8">
      <t>タイショウガイ</t>
    </rPh>
    <phoneticPr fontId="1"/>
  </si>
  <si>
    <t>燃料希釈時の要求下限回転数の調停許可値として意図通りの参照をしているため、問題なし。</t>
    <rPh sb="0" eb="2">
      <t>ネンリョウ</t>
    </rPh>
    <phoneticPr fontId="1"/>
  </si>
  <si>
    <t>同時採用部品。直近はフリーポートで対応。次回メジャーで追加予定。</t>
    <rPh sb="0" eb="2">
      <t>ドウジ</t>
    </rPh>
    <rPh sb="2" eb="4">
      <t>サイヨウ</t>
    </rPh>
    <rPh sb="4" eb="6">
      <t>ブヒン</t>
    </rPh>
    <rPh sb="7" eb="9">
      <t>チョッキン</t>
    </rPh>
    <rPh sb="17" eb="19">
      <t>タイオウ</t>
    </rPh>
    <rPh sb="20" eb="22">
      <t>ジカイ</t>
    </rPh>
    <rPh sb="27" eb="29">
      <t>ツイカ</t>
    </rPh>
    <rPh sb="29" eb="31">
      <t>ヨテイ</t>
    </rPh>
    <phoneticPr fontId="1"/>
  </si>
  <si>
    <t>対象IF</t>
    <rPh sb="0" eb="2">
      <t>タイショウ</t>
    </rPh>
    <phoneticPr fontId="1"/>
  </si>
  <si>
    <t>変数
定数</t>
    <rPh sb="0" eb="2">
      <t>ヘンスウ</t>
    </rPh>
    <rPh sb="3" eb="5">
      <t>ジョウスウ</t>
    </rPh>
    <phoneticPr fontId="1"/>
  </si>
  <si>
    <t>変数</t>
    <rPh sb="0" eb="2">
      <t>ヘンスウ</t>
    </rPh>
    <phoneticPr fontId="1"/>
  </si>
  <si>
    <t>変数・定数</t>
    <rPh sb="0" eb="2">
      <t>ヘンスウ</t>
    </rPh>
    <rPh sb="3" eb="5">
      <t>ジョウスウ</t>
    </rPh>
    <phoneticPr fontId="1"/>
  </si>
  <si>
    <t>apim2if_prair</t>
    <phoneticPr fontId="24"/>
  </si>
  <si>
    <t>吸気管相対圧力、相対圧力調整値算出のため、サージタンク圧力2を参照。</t>
    <phoneticPr fontId="1"/>
  </si>
  <si>
    <t>公開：pwon,4msm
参照：pwon,4msm
常に最新の値を参照するため問題なし。</t>
    <phoneticPr fontId="1"/>
  </si>
  <si>
    <t>常時更新のため、問題なし。</t>
    <phoneticPr fontId="1"/>
  </si>
  <si>
    <t>一周期遅れで変数を参照しても誤判定を行うことは無いため、問題なし。</t>
    <rPh sb="0" eb="1">
      <t>イチ</t>
    </rPh>
    <rPh sb="1" eb="3">
      <t>シュウキ</t>
    </rPh>
    <rPh sb="3" eb="4">
      <t>オク</t>
    </rPh>
    <rPh sb="6" eb="8">
      <t>ヘンスウ</t>
    </rPh>
    <rPh sb="9" eb="11">
      <t>サンショウ</t>
    </rPh>
    <rPh sb="14" eb="17">
      <t>ゴハンテイ</t>
    </rPh>
    <rPh sb="18" eb="19">
      <t>オコナ</t>
    </rPh>
    <rPh sb="23" eb="24">
      <t>ナ</t>
    </rPh>
    <rPh sb="28" eb="30">
      <t>モンダイ</t>
    </rPh>
    <phoneticPr fontId="1"/>
  </si>
  <si>
    <t>・esimpimr_c011a/esimpimr/vdg_esimpimr_pwon_seq/vds_esimpimr_pwontwin_set
・esimpimr_c011a/esimpimr/vdg_esimpimr_4msm_seq/esimpimr_epimr_cal/vds_esimpimr_lchtwin
・esimpimr_c011a/esimpimr/vdg_esimpimr_4msm_seq/esimpimr_epimr_cal/esimpimr_return_cal/vds_esimpimr_returntwin_cal
・esimpimr_c011a/esimpimr/vdg_esimpimr_4msm_seq/esimpimr_epimr_cal/vds_esimpimr_epimr_epadj_cal/vds_esimpimr_epadjtwin_cal/esimpimr_epadj2_jdg</t>
    <phoneticPr fontId="1"/>
  </si>
  <si>
    <t>サージタンク圧力2として意図した情報を参照しているため問題なし。</t>
    <phoneticPr fontId="1"/>
  </si>
  <si>
    <t>同一IFを複数個所で参照：複数参照ありだが、別タスクおよびラッチ化しているため、問題なし。
同一部品からの参照IFを複数種類参照：複数参照ありだが、同時性保証は不要。</t>
    <phoneticPr fontId="1"/>
  </si>
  <si>
    <t>他ドメインからの参照のため、フォルダ間の参照ルールは対象外。</t>
    <phoneticPr fontId="1"/>
  </si>
  <si>
    <t>エッジフラグでないため、問題なし。</t>
    <phoneticPr fontId="1"/>
  </si>
  <si>
    <t>モード、パターン、ステップでないため、
問題なし。</t>
    <phoneticPr fontId="1"/>
  </si>
  <si>
    <t>調停器に要求を出していないため、問題なし。</t>
    <phoneticPr fontId="1"/>
  </si>
  <si>
    <t>シビアなタイミング同期を狙っていないため、許容できる。</t>
    <phoneticPr fontId="1"/>
  </si>
  <si>
    <t>参照元部品からの複数RAM参照ありだが、同時性保証は不要。</t>
    <phoneticPr fontId="1"/>
  </si>
  <si>
    <t>同時発行予定（同時変更するが、参照IFには影響無いことを確認済み）</t>
    <rPh sb="0" eb="2">
      <t>ドウジ</t>
    </rPh>
    <rPh sb="2" eb="4">
      <t>ハッコウ</t>
    </rPh>
    <rPh sb="4" eb="6">
      <t>ヨテイ</t>
    </rPh>
    <rPh sb="7" eb="9">
      <t>ドウジ</t>
    </rPh>
    <rPh sb="9" eb="11">
      <t>ヘンコウ</t>
    </rPh>
    <rPh sb="15" eb="17">
      <t>サンショウ</t>
    </rPh>
    <rPh sb="21" eb="23">
      <t>エイキョウ</t>
    </rPh>
    <rPh sb="23" eb="24">
      <t>ナ</t>
    </rPh>
    <rPh sb="28" eb="31">
      <t>カクニンズ</t>
    </rPh>
    <phoneticPr fontId="1"/>
  </si>
  <si>
    <t>ednalccal_ednalcpi</t>
    <phoneticPr fontId="24"/>
  </si>
  <si>
    <t>挙動の確認済み</t>
    <rPh sb="0" eb="2">
      <t>キョドウ</t>
    </rPh>
    <rPh sb="3" eb="5">
      <t>カクニン</t>
    </rPh>
    <rPh sb="5" eb="6">
      <t>ズ</t>
    </rPh>
    <phoneticPr fontId="12"/>
  </si>
  <si>
    <t>更新：pwon, 32ms
参照：8msm
参照周期が更新周期より短く、最新値を取得しているため、問題なし</t>
    <rPh sb="0" eb="2">
      <t>コウシン</t>
    </rPh>
    <rPh sb="14" eb="16">
      <t>サンショウ</t>
    </rPh>
    <rPh sb="23" eb="25">
      <t>サンショウ</t>
    </rPh>
    <rPh sb="25" eb="27">
      <t>シュウキ</t>
    </rPh>
    <rPh sb="28" eb="30">
      <t>コウシン</t>
    </rPh>
    <rPh sb="30" eb="32">
      <t>シュウキ</t>
    </rPh>
    <rPh sb="34" eb="35">
      <t>ミジカ</t>
    </rPh>
    <rPh sb="37" eb="39">
      <t>サイシン</t>
    </rPh>
    <rPh sb="39" eb="40">
      <t>チ</t>
    </rPh>
    <rPh sb="41" eb="43">
      <t>シュトク</t>
    </rPh>
    <rPh sb="50" eb="52">
      <t>モンダイ</t>
    </rPh>
    <phoneticPr fontId="12"/>
  </si>
  <si>
    <t xml:space="preserve">常時更新のため、問題なし
</t>
    <phoneticPr fontId="12"/>
  </si>
  <si>
    <t>更新後の値を参照しているため、問題なし</t>
    <phoneticPr fontId="12"/>
  </si>
  <si>
    <t>esimfinjtchg_c000a/esimfinjtchg/vdg_esimfinjtchg_efinjtchg_get/esimfinjtchg_lch/vds_esimfinjtchg_ffv_lch</t>
    <phoneticPr fontId="12"/>
  </si>
  <si>
    <t>他の参照変数で同時性保証が必要なものはないため、問題なし</t>
    <rPh sb="0" eb="1">
      <t>ホカ</t>
    </rPh>
    <rPh sb="2" eb="4">
      <t>サンショウ</t>
    </rPh>
    <rPh sb="4" eb="6">
      <t>ヘンスウ</t>
    </rPh>
    <rPh sb="7" eb="9">
      <t>ドウジ</t>
    </rPh>
    <rPh sb="9" eb="10">
      <t>セイ</t>
    </rPh>
    <rPh sb="10" eb="12">
      <t>ホショウ</t>
    </rPh>
    <rPh sb="13" eb="15">
      <t>ヒツヨウ</t>
    </rPh>
    <rPh sb="24" eb="26">
      <t>モンダイ</t>
    </rPh>
    <phoneticPr fontId="12"/>
  </si>
  <si>
    <t>etranfwd→etran
問題なし</t>
    <phoneticPr fontId="12"/>
  </si>
  <si>
    <t>emkrichbに要求を出しているが、emkrichbのIDを参照していないため、問題無し</t>
    <phoneticPr fontId="12"/>
  </si>
  <si>
    <t>発行済み</t>
    <rPh sb="0" eb="2">
      <t>ハッコウ</t>
    </rPh>
    <rPh sb="2" eb="3">
      <t>ズ</t>
    </rPh>
    <phoneticPr fontId="12"/>
  </si>
  <si>
    <t>Ver2.06</t>
    <phoneticPr fontId="1"/>
  </si>
  <si>
    <t>・「参照元チェックリストの説明」シート
  似た様な変数の事例、HEG-EHV通信確認シート確認 を追加
・「記入例」シートを追加
・1-4 CAN信号の場合のFS値の書き方を追記。
・各項目の対象(変数/定数)を追加</t>
    <rPh sb="22" eb="23">
      <t>ニ</t>
    </rPh>
    <rPh sb="24" eb="25">
      <t>ヨウ</t>
    </rPh>
    <rPh sb="26" eb="28">
      <t>ヘンスウ</t>
    </rPh>
    <rPh sb="29" eb="31">
      <t>ジレイ</t>
    </rPh>
    <rPh sb="39" eb="41">
      <t>ツウシン</t>
    </rPh>
    <rPh sb="41" eb="43">
      <t>カクニン</t>
    </rPh>
    <rPh sb="46" eb="48">
      <t>カクニン</t>
    </rPh>
    <rPh sb="50" eb="52">
      <t>ツイカ</t>
    </rPh>
    <rPh sb="55" eb="57">
      <t>キニュウ</t>
    </rPh>
    <rPh sb="57" eb="58">
      <t>レイ</t>
    </rPh>
    <rPh sb="63" eb="65">
      <t>ツイカ</t>
    </rPh>
    <rPh sb="74" eb="76">
      <t>シンゴウ</t>
    </rPh>
    <rPh sb="77" eb="79">
      <t>バアイ</t>
    </rPh>
    <rPh sb="82" eb="83">
      <t>チ</t>
    </rPh>
    <rPh sb="84" eb="85">
      <t>カ</t>
    </rPh>
    <rPh sb="86" eb="87">
      <t>カタ</t>
    </rPh>
    <rPh sb="88" eb="90">
      <t>ツイキ</t>
    </rPh>
    <rPh sb="93" eb="94">
      <t>カク</t>
    </rPh>
    <rPh sb="94" eb="96">
      <t>コウモク</t>
    </rPh>
    <rPh sb="97" eb="99">
      <t>タイショウ</t>
    </rPh>
    <rPh sb="100" eb="102">
      <t>ヘンスウ</t>
    </rPh>
    <rPh sb="103" eb="105">
      <t>ジョウスウ</t>
    </rPh>
    <rPh sb="107" eb="109">
      <t>ツイカ</t>
    </rPh>
    <phoneticPr fontId="1"/>
  </si>
  <si>
    <r>
      <rPr>
        <sz val="11"/>
        <rFont val="HGS創英角ﾎﾟｯﾌﾟ体"/>
        <family val="3"/>
        <charset val="128"/>
      </rPr>
      <t>（補足1）</t>
    </r>
    <r>
      <rPr>
        <sz val="11"/>
        <rFont val="ＭＳ Ｐゴシック"/>
        <family val="2"/>
        <scheme val="minor"/>
      </rPr>
      <t>参照変数の更新周期に対し、
自部品の参照周期が適切か</t>
    </r>
    <rPh sb="1" eb="3">
      <t>ホソク</t>
    </rPh>
    <rPh sb="5" eb="7">
      <t>サンショウ</t>
    </rPh>
    <rPh sb="7" eb="9">
      <t>ヘンスウ</t>
    </rPh>
    <rPh sb="10" eb="12">
      <t>コウシン</t>
    </rPh>
    <rPh sb="12" eb="14">
      <t>シュウキ</t>
    </rPh>
    <rPh sb="15" eb="16">
      <t>タイ</t>
    </rPh>
    <rPh sb="19" eb="20">
      <t>ジ</t>
    </rPh>
    <rPh sb="20" eb="22">
      <t>ブヒン</t>
    </rPh>
    <rPh sb="23" eb="25">
      <t>サンショウ</t>
    </rPh>
    <rPh sb="25" eb="27">
      <t>シュウキ</t>
    </rPh>
    <rPh sb="28" eb="30">
      <t>テキセツ</t>
    </rPh>
    <phoneticPr fontId="1"/>
  </si>
  <si>
    <r>
      <rPr>
        <sz val="11"/>
        <rFont val="HGS創英角ﾎﾟｯﾌﾟ体"/>
        <family val="3"/>
        <charset val="128"/>
      </rPr>
      <t>（補足2）</t>
    </r>
    <r>
      <rPr>
        <sz val="11"/>
        <rFont val="ＭＳ Ｐゴシック"/>
        <family val="2"/>
        <scheme val="minor"/>
      </rPr>
      <t>変数が更新されないタイミングや
条件を把握しているか</t>
    </r>
    <rPh sb="5" eb="7">
      <t>ヘンスウ</t>
    </rPh>
    <rPh sb="8" eb="10">
      <t>コウシン</t>
    </rPh>
    <rPh sb="21" eb="23">
      <t>ジョウケン</t>
    </rPh>
    <rPh sb="24" eb="26">
      <t>ハアク</t>
    </rPh>
    <phoneticPr fontId="1"/>
  </si>
  <si>
    <r>
      <rPr>
        <sz val="11"/>
        <rFont val="HGS創英角ﾎﾟｯﾌﾟ体"/>
        <family val="3"/>
        <charset val="128"/>
      </rPr>
      <t>（補足5）</t>
    </r>
    <r>
      <rPr>
        <sz val="11"/>
        <rFont val="ＭＳ Ｐゴシック"/>
        <family val="2"/>
        <scheme val="minor"/>
      </rPr>
      <t>似たような参照変数について、
正しい変数を参照出来ているか</t>
    </r>
    <rPh sb="5" eb="6">
      <t>ニ</t>
    </rPh>
    <rPh sb="20" eb="21">
      <t>タダ</t>
    </rPh>
    <rPh sb="23" eb="25">
      <t>ヘンスウ</t>
    </rPh>
    <rPh sb="28" eb="30">
      <t>デキ</t>
    </rPh>
    <phoneticPr fontId="1"/>
  </si>
  <si>
    <r>
      <rPr>
        <sz val="11"/>
        <rFont val="HGS創英角ﾎﾟｯﾌﾟ体"/>
        <family val="3"/>
        <charset val="128"/>
      </rPr>
      <t>（補足6）</t>
    </r>
    <r>
      <rPr>
        <sz val="11"/>
        <rFont val="ＭＳ Ｐゴシック"/>
        <family val="2"/>
        <scheme val="minor"/>
      </rPr>
      <t>変数を複数参照する場合、同時性
確保が必要となっている変数かどうかの
確認はしたか</t>
    </r>
    <rPh sb="5" eb="7">
      <t>ヘンスウ</t>
    </rPh>
    <rPh sb="8" eb="10">
      <t>フクスウ</t>
    </rPh>
    <rPh sb="10" eb="12">
      <t>サンショウ</t>
    </rPh>
    <rPh sb="14" eb="16">
      <t>バアイ</t>
    </rPh>
    <rPh sb="17" eb="20">
      <t>ドウジセイ</t>
    </rPh>
    <rPh sb="21" eb="23">
      <t>カクホ</t>
    </rPh>
    <rPh sb="24" eb="26">
      <t>ヒツヨウ</t>
    </rPh>
    <rPh sb="32" eb="34">
      <t>ヘンスウ</t>
    </rPh>
    <rPh sb="40" eb="42">
      <t>カクニン</t>
    </rPh>
    <phoneticPr fontId="1"/>
  </si>
  <si>
    <t>1-3-2</t>
    <phoneticPr fontId="1"/>
  </si>
  <si>
    <t>参照元のpwon処理が自部品pwon処理より後に実行される場合や、参照元のpwon処理がない場合は、意図通りの処理にならない可能性がある
（NRAMの場合は「ゼロ」を参照、SRAMの場合は前回値参照）</t>
    <rPh sb="0" eb="3">
      <t>サンショウモト</t>
    </rPh>
    <rPh sb="8" eb="10">
      <t>ショリ</t>
    </rPh>
    <rPh sb="11" eb="14">
      <t>ジブヒン</t>
    </rPh>
    <rPh sb="18" eb="20">
      <t>ショリ</t>
    </rPh>
    <rPh sb="22" eb="23">
      <t>アト</t>
    </rPh>
    <rPh sb="24" eb="26">
      <t>ジッコウ</t>
    </rPh>
    <rPh sb="29" eb="31">
      <t>バアイ</t>
    </rPh>
    <rPh sb="33" eb="36">
      <t>サンショウモト</t>
    </rPh>
    <rPh sb="41" eb="43">
      <t>ショリ</t>
    </rPh>
    <rPh sb="46" eb="48">
      <t>バアイ</t>
    </rPh>
    <rPh sb="50" eb="53">
      <t>イトドオ</t>
    </rPh>
    <rPh sb="55" eb="57">
      <t>ショリ</t>
    </rPh>
    <rPh sb="62" eb="65">
      <t>カノウセイ</t>
    </rPh>
    <rPh sb="75" eb="77">
      <t>バアイ</t>
    </rPh>
    <rPh sb="83" eb="85">
      <t>サンショウ</t>
    </rPh>
    <rPh sb="91" eb="93">
      <t>バアイ</t>
    </rPh>
    <rPh sb="94" eb="97">
      <t>ゼンカイチ</t>
    </rPh>
    <rPh sb="97" eb="99">
      <t>サンショウ</t>
    </rPh>
    <phoneticPr fontId="1"/>
  </si>
  <si>
    <r>
      <t xml:space="preserve">参照変数を最新値でなく前回値を見てしまうと、誤判定してしまうこともある
</t>
    </r>
    <r>
      <rPr>
        <sz val="11"/>
        <color rgb="FFFF0000"/>
        <rFont val="ＭＳ Ｐゴシック"/>
        <family val="3"/>
        <charset val="128"/>
        <scheme val="minor"/>
      </rPr>
      <t>個別仕様で標準仕様と異なる処理順を指定している場合がある</t>
    </r>
    <rPh sb="0" eb="2">
      <t>サンショウ</t>
    </rPh>
    <rPh sb="2" eb="4">
      <t>ヘンスウ</t>
    </rPh>
    <rPh sb="5" eb="7">
      <t>サイシン</t>
    </rPh>
    <rPh sb="7" eb="8">
      <t>チ</t>
    </rPh>
    <rPh sb="11" eb="13">
      <t>ゼンカイ</t>
    </rPh>
    <rPh sb="13" eb="14">
      <t>チ</t>
    </rPh>
    <rPh sb="15" eb="16">
      <t>ミ</t>
    </rPh>
    <rPh sb="22" eb="25">
      <t>ゴハンテイ</t>
    </rPh>
    <rPh sb="36" eb="38">
      <t>コベツ</t>
    </rPh>
    <rPh sb="38" eb="40">
      <t>シヨウ</t>
    </rPh>
    <rPh sb="41" eb="43">
      <t>ヒョウジュン</t>
    </rPh>
    <rPh sb="43" eb="45">
      <t>シヨウ</t>
    </rPh>
    <rPh sb="46" eb="47">
      <t>コト</t>
    </rPh>
    <rPh sb="49" eb="52">
      <t>ショリジュン</t>
    </rPh>
    <rPh sb="53" eb="55">
      <t>シテイ</t>
    </rPh>
    <rPh sb="59" eb="61">
      <t>バアイ</t>
    </rPh>
    <phoneticPr fontId="1"/>
  </si>
  <si>
    <t xml:space="preserve">elmngの処理順は狙い通りか
</t>
    <rPh sb="6" eb="8">
      <t>ショリ</t>
    </rPh>
    <rPh sb="8" eb="9">
      <t>ジュン</t>
    </rPh>
    <rPh sb="10" eb="11">
      <t>ネラ</t>
    </rPh>
    <rPh sb="12" eb="13">
      <t>ドオ</t>
    </rPh>
    <phoneticPr fontId="1"/>
  </si>
  <si>
    <r>
      <t xml:space="preserve">elmngの処理順は狙い通りか
</t>
    </r>
    <r>
      <rPr>
        <sz val="11"/>
        <color rgb="FFFF0000"/>
        <rFont val="ＭＳ Ｐゴシック"/>
        <family val="3"/>
        <charset val="128"/>
        <scheme val="minor"/>
      </rPr>
      <t>DMC車両でyacin_pwonの処理順をetranfwrd_pwonの後に指定。</t>
    </r>
    <r>
      <rPr>
        <sz val="11"/>
        <color theme="1"/>
        <rFont val="ＭＳ Ｐゴシック"/>
        <family val="2"/>
        <scheme val="minor"/>
      </rPr>
      <t xml:space="preserve">
</t>
    </r>
    <r>
      <rPr>
        <sz val="11"/>
        <color rgb="FFFF0000"/>
        <rFont val="ＭＳ Ｐゴシック"/>
        <family val="3"/>
        <charset val="128"/>
        <scheme val="minor"/>
      </rPr>
      <t>etham_pwon(etranfrdmng_pwon内で処理)がyacin_yacthoを参照しているため意図通りの算出ができなかったが、処理順指定方法見直し（etha_pwon→yacin_pwon→etham_pwon）で対応</t>
    </r>
    <rPh sb="6" eb="8">
      <t>ショリ</t>
    </rPh>
    <rPh sb="8" eb="9">
      <t>ジュン</t>
    </rPh>
    <rPh sb="10" eb="11">
      <t>ネラ</t>
    </rPh>
    <rPh sb="12" eb="13">
      <t>ドオ</t>
    </rPh>
    <rPh sb="20" eb="22">
      <t>シャリョウ</t>
    </rPh>
    <rPh sb="34" eb="37">
      <t>ショリジュン</t>
    </rPh>
    <rPh sb="53" eb="54">
      <t>アト</t>
    </rPh>
    <rPh sb="55" eb="57">
      <t>シテイ</t>
    </rPh>
    <rPh sb="86" eb="87">
      <t>ナイ</t>
    </rPh>
    <rPh sb="88" eb="90">
      <t>ショリ</t>
    </rPh>
    <rPh sb="105" eb="107">
      <t>サンショウ</t>
    </rPh>
    <rPh sb="113" eb="116">
      <t>イトドオ</t>
    </rPh>
    <rPh sb="118" eb="120">
      <t>サンシュツ</t>
    </rPh>
    <rPh sb="129" eb="132">
      <t>ショリジュン</t>
    </rPh>
    <rPh sb="132" eb="134">
      <t>シテイ</t>
    </rPh>
    <rPh sb="134" eb="136">
      <t>ホウホウ</t>
    </rPh>
    <rPh sb="136" eb="138">
      <t>ミナオ</t>
    </rPh>
    <rPh sb="173" eb="175">
      <t>タイオウ</t>
    </rPh>
    <phoneticPr fontId="1"/>
  </si>
  <si>
    <t>ﾊﾞﾝｸ毎の値とﾊﾞﾝｸ平均値の正しい方を参照していなかった
その他、似たような変数の事例を右表に記載。</t>
    <rPh sb="4" eb="5">
      <t>ゴト</t>
    </rPh>
    <rPh sb="6" eb="7">
      <t>チ</t>
    </rPh>
    <rPh sb="16" eb="17">
      <t>タダ</t>
    </rPh>
    <rPh sb="19" eb="20">
      <t>カタ</t>
    </rPh>
    <rPh sb="21" eb="23">
      <t>サンショウ</t>
    </rPh>
    <phoneticPr fontId="1"/>
  </si>
  <si>
    <t>yacin_yactho</t>
    <phoneticPr fontId="1"/>
  </si>
  <si>
    <t>IF不整合が起きないため問題なし
参照元(部品CSW)： -
参照元(処理CSW)： 【外気温ｾﾝｻ有り】（YACJCC_JYACTAM == YACJCC_USE）
参照先(部品CSW)： -
参照先(処理CSW)： 【ﾀﾞｲﾊﾂ製ｴｱｺﾝ有】
※【ﾀﾞｲﾊﾂ製ｴｱｺﾝ有】では【外気温ｾﾝｻ有り】に設定されることを確認済み
参照元データ型：s2
参照先データ型：s2（FLP化予定なし）</t>
    <rPh sb="2" eb="5">
      <t>フセイゴウ</t>
    </rPh>
    <rPh sb="6" eb="7">
      <t>オ</t>
    </rPh>
    <rPh sb="12" eb="14">
      <t>モンダイ</t>
    </rPh>
    <rPh sb="45" eb="48">
      <t>ガイキオン</t>
    </rPh>
    <rPh sb="51" eb="52">
      <t>アリ</t>
    </rPh>
    <rPh sb="117" eb="118">
      <t>セイ</t>
    </rPh>
    <rPh sb="122" eb="123">
      <t>アリ</t>
    </rPh>
    <rPh sb="133" eb="134">
      <t>セイ</t>
    </rPh>
    <rPh sb="138" eb="139">
      <t>アリ</t>
    </rPh>
    <rPh sb="143" eb="146">
      <t>ガイキオン</t>
    </rPh>
    <rPh sb="149" eb="150">
      <t>ア</t>
    </rPh>
    <rPh sb="153" eb="155">
      <t>セッテイ</t>
    </rPh>
    <rPh sb="161" eb="164">
      <t>カクニンズ</t>
    </rPh>
    <rPh sb="167" eb="170">
      <t>サンショウモト</t>
    </rPh>
    <rPh sb="173" eb="174">
      <t>ガタ</t>
    </rPh>
    <rPh sb="178" eb="181">
      <t>サンショウサキ</t>
    </rPh>
    <rPh sb="184" eb="185">
      <t>ガタ</t>
    </rPh>
    <rPh sb="192" eb="193">
      <t>カ</t>
    </rPh>
    <rPh sb="193" eb="195">
      <t>ヨテイ</t>
    </rPh>
    <phoneticPr fontId="1"/>
  </si>
  <si>
    <t>公開：pwon、4sl
自部品：pwon、65msl
参照周期が更新周期より短いが、外気温ｾﾝｻ値は急変せず、変化を見ていないため問題なし</t>
    <rPh sb="0" eb="2">
      <t>コウカイ</t>
    </rPh>
    <rPh sb="12" eb="15">
      <t>ジブヒン</t>
    </rPh>
    <rPh sb="28" eb="32">
      <t>サンショウシュウキ</t>
    </rPh>
    <rPh sb="33" eb="35">
      <t>コウシン</t>
    </rPh>
    <rPh sb="35" eb="37">
      <t>シュウキ</t>
    </rPh>
    <rPh sb="39" eb="40">
      <t>ミジカ</t>
    </rPh>
    <rPh sb="43" eb="46">
      <t>ガイキオン</t>
    </rPh>
    <rPh sb="49" eb="50">
      <t>チ</t>
    </rPh>
    <rPh sb="51" eb="53">
      <t>キュウヘン</t>
    </rPh>
    <rPh sb="56" eb="58">
      <t>ヘンカ</t>
    </rPh>
    <rPh sb="59" eb="60">
      <t>ミ</t>
    </rPh>
    <rPh sb="66" eb="68">
      <t>モンダイ</t>
    </rPh>
    <phoneticPr fontId="1"/>
  </si>
  <si>
    <t>常時更新のため問題なし</t>
    <rPh sb="0" eb="2">
      <t>ジョウジ</t>
    </rPh>
    <rPh sb="2" eb="4">
      <t>コウシン</t>
    </rPh>
    <rPh sb="7" eb="9">
      <t>モンダイ</t>
    </rPh>
    <phoneticPr fontId="1"/>
  </si>
  <si>
    <t>65msl参照では処理順考慮不要
（公開元算出周期の方が長く、センサ値は短時間で急変しないため）</t>
    <rPh sb="5" eb="7">
      <t>サンショウ</t>
    </rPh>
    <rPh sb="9" eb="12">
      <t>ショリジュン</t>
    </rPh>
    <rPh sb="12" eb="14">
      <t>コウリョ</t>
    </rPh>
    <rPh sb="14" eb="16">
      <t>フヨウ</t>
    </rPh>
    <rPh sb="18" eb="21">
      <t>コウカイモト</t>
    </rPh>
    <rPh sb="21" eb="23">
      <t>サンシュツ</t>
    </rPh>
    <rPh sb="23" eb="25">
      <t>シュウキ</t>
    </rPh>
    <rPh sb="26" eb="27">
      <t>ホウ</t>
    </rPh>
    <rPh sb="28" eb="29">
      <t>ナガ</t>
    </rPh>
    <rPh sb="34" eb="35">
      <t>チ</t>
    </rPh>
    <rPh sb="36" eb="39">
      <t>タンジカン</t>
    </rPh>
    <rPh sb="40" eb="42">
      <t>キュウヘン</t>
    </rPh>
    <phoneticPr fontId="1"/>
  </si>
  <si>
    <t>ダイハツYドメインにて処理順指定（ethw_pwon→yacin_pwon→etham_pwon）により最新値を参照しているため、問題なし
※pwon参照ない場合は、「pwon参照なし」と書く</t>
    <rPh sb="76" eb="78">
      <t>サンショウ</t>
    </rPh>
    <rPh sb="80" eb="82">
      <t>バアイ</t>
    </rPh>
    <rPh sb="89" eb="91">
      <t>サンショウ</t>
    </rPh>
    <rPh sb="95" eb="96">
      <t>カ</t>
    </rPh>
    <phoneticPr fontId="1"/>
  </si>
  <si>
    <t>・esimtham_c020a/esimtham/vdg_esimtham_pwon_seq/vds_esimthamini_latch/vds_esimtham_dmcacini_cal
・esimtham_c020a/esimtham/vdg_esimtham_65msl_seq/vds_esimtham_thamaccan_cal/vds_esimtham_latch/vds_esimtham_dmcac_cal</t>
    <phoneticPr fontId="1"/>
  </si>
  <si>
    <t>Ver2.07</t>
    <phoneticPr fontId="1"/>
  </si>
  <si>
    <t>外気温センサ値としてPFからの公開値（gatam_gatamsm）があるが、エンジン受熱により「gatam_gatamsm≫実外気温」となる可能性があるためyacin_yacthoを参照（【AC-CAN通信】で参照するfbody_yacambも参照元（エアコンECU）に同等の処理あり）。
センサフェイル状態もPFからの公開値（gatam_gaxftam）があるが、更新周期がyacin_yacthoと異なり（65msl）、適切な外気温が算出できないためyacthoのフェイル値からフェイル状態判定。</t>
    <rPh sb="0" eb="3">
      <t>ガイキオン</t>
    </rPh>
    <rPh sb="6" eb="7">
      <t>チ</t>
    </rPh>
    <rPh sb="15" eb="18">
      <t>コウカイチ</t>
    </rPh>
    <rPh sb="42" eb="44">
      <t>ジュネツ</t>
    </rPh>
    <rPh sb="62" eb="66">
      <t>ジツガイキオン</t>
    </rPh>
    <rPh sb="70" eb="73">
      <t>カノウセイ</t>
    </rPh>
    <rPh sb="91" eb="93">
      <t>サンショウ</t>
    </rPh>
    <rPh sb="101" eb="103">
      <t>ツウシン</t>
    </rPh>
    <rPh sb="105" eb="107">
      <t>サンショウ</t>
    </rPh>
    <rPh sb="122" eb="125">
      <t>サンショウモト</t>
    </rPh>
    <rPh sb="135" eb="137">
      <t>ドウトウ</t>
    </rPh>
    <rPh sb="138" eb="140">
      <t>ショリ</t>
    </rPh>
    <rPh sb="152" eb="154">
      <t>ジョウタイ</t>
    </rPh>
    <rPh sb="160" eb="163">
      <t>コウカイチ</t>
    </rPh>
    <rPh sb="183" eb="185">
      <t>コウシン</t>
    </rPh>
    <rPh sb="185" eb="187">
      <t>シュウキ</t>
    </rPh>
    <rPh sb="201" eb="202">
      <t>コト</t>
    </rPh>
    <rPh sb="212" eb="214">
      <t>テキセツ</t>
    </rPh>
    <rPh sb="215" eb="218">
      <t>ガイキオン</t>
    </rPh>
    <rPh sb="219" eb="221">
      <t>サンシュツ</t>
    </rPh>
    <rPh sb="238" eb="239">
      <t>チ</t>
    </rPh>
    <rPh sb="245" eb="247">
      <t>ジョウタイ</t>
    </rPh>
    <rPh sb="247" eb="249">
      <t>ハンテイ</t>
    </rPh>
    <phoneticPr fontId="1"/>
  </si>
  <si>
    <t>同時性保証が必要な変数はない</t>
    <rPh sb="0" eb="3">
      <t>ドウジセイ</t>
    </rPh>
    <rPh sb="3" eb="5">
      <t>ホショウ</t>
    </rPh>
    <rPh sb="6" eb="8">
      <t>ヒツヨウ</t>
    </rPh>
    <rPh sb="9" eb="11">
      <t>ヘンスウ</t>
    </rPh>
    <phoneticPr fontId="1"/>
  </si>
  <si>
    <t>他ドメイン公開値だが、参照して問題ないことを確認済み（センサ値相当のため）</t>
    <rPh sb="0" eb="1">
      <t>タ</t>
    </rPh>
    <rPh sb="5" eb="8">
      <t>コウカイチ</t>
    </rPh>
    <rPh sb="11" eb="13">
      <t>サンショウ</t>
    </rPh>
    <rPh sb="15" eb="17">
      <t>モンダイ</t>
    </rPh>
    <rPh sb="22" eb="25">
      <t>カクニンズ</t>
    </rPh>
    <rPh sb="30" eb="31">
      <t>チ</t>
    </rPh>
    <rPh sb="31" eb="33">
      <t>ソウトウ</t>
    </rPh>
    <phoneticPr fontId="1"/>
  </si>
  <si>
    <t>エッジではないため、問題なし</t>
    <rPh sb="10" eb="12">
      <t>モンダイ</t>
    </rPh>
    <phoneticPr fontId="1"/>
  </si>
  <si>
    <t>モード、パターン、ステップでないため問題なし</t>
    <rPh sb="18" eb="20">
      <t>モンダイ</t>
    </rPh>
    <phoneticPr fontId="1"/>
  </si>
  <si>
    <t>調停器に要求を出していない</t>
    <phoneticPr fontId="1"/>
  </si>
  <si>
    <t>公開：core0
参照：core0</t>
    <rPh sb="0" eb="2">
      <t>コウカイ</t>
    </rPh>
    <rPh sb="9" eb="11">
      <t>サンショウ</t>
    </rPh>
    <phoneticPr fontId="1"/>
  </si>
  <si>
    <t>同一コアのため問題なし</t>
    <rPh sb="0" eb="2">
      <t>ドウイツ</t>
    </rPh>
    <rPh sb="7" eb="9">
      <t>モンダイ</t>
    </rPh>
    <phoneticPr fontId="1"/>
  </si>
  <si>
    <t>－</t>
    <phoneticPr fontId="1"/>
  </si>
  <si>
    <t>発行予定なし</t>
    <rPh sb="0" eb="2">
      <t>ハッコウ</t>
    </rPh>
    <rPh sb="2" eb="4">
      <t>ヨテイ</t>
    </rPh>
    <phoneticPr fontId="1"/>
  </si>
  <si>
    <t>24F5G勝俣
24F5G加地</t>
    <rPh sb="5" eb="7">
      <t>カツマタ</t>
    </rPh>
    <rPh sb="13" eb="15">
      <t>カチ</t>
    </rPh>
    <phoneticPr fontId="1"/>
  </si>
  <si>
    <t>・1-3を1-3-1、1-3-2に分離し、個別仕様引き当て時の注意事項を追記（「記入例」に事例追加）
・1 に他ドメイン参照時の対応を追記
・「参照元チェックリストの説明」シート
　-elmngefi集約場所追記、「似たような変数の例」追記</t>
    <rPh sb="17" eb="19">
      <t>ブンリ</t>
    </rPh>
    <rPh sb="21" eb="23">
      <t>コベツ</t>
    </rPh>
    <rPh sb="23" eb="25">
      <t>シヨウ</t>
    </rPh>
    <rPh sb="25" eb="26">
      <t>ヒ</t>
    </rPh>
    <rPh sb="27" eb="28">
      <t>ア</t>
    </rPh>
    <rPh sb="29" eb="30">
      <t>ジ</t>
    </rPh>
    <rPh sb="31" eb="33">
      <t>チュウイ</t>
    </rPh>
    <rPh sb="33" eb="35">
      <t>ジコウ</t>
    </rPh>
    <rPh sb="36" eb="38">
      <t>ツイキ</t>
    </rPh>
    <rPh sb="40" eb="42">
      <t>キニュウ</t>
    </rPh>
    <rPh sb="42" eb="43">
      <t>レイ</t>
    </rPh>
    <rPh sb="45" eb="47">
      <t>ジレイ</t>
    </rPh>
    <rPh sb="47" eb="49">
      <t>ツイカ</t>
    </rPh>
    <rPh sb="55" eb="56">
      <t>タ</t>
    </rPh>
    <rPh sb="60" eb="63">
      <t>サンショウジ</t>
    </rPh>
    <rPh sb="64" eb="66">
      <t>タイオウ</t>
    </rPh>
    <rPh sb="67" eb="69">
      <t>ツイキ</t>
    </rPh>
    <rPh sb="72" eb="75">
      <t>サンショウモト</t>
    </rPh>
    <rPh sb="83" eb="85">
      <t>セツメイ</t>
    </rPh>
    <rPh sb="100" eb="102">
      <t>シュウヤク</t>
    </rPh>
    <rPh sb="102" eb="104">
      <t>バショ</t>
    </rPh>
    <rPh sb="104" eb="106">
      <t>ツイキ</t>
    </rPh>
    <rPh sb="108" eb="109">
      <t>ニ</t>
    </rPh>
    <rPh sb="113" eb="115">
      <t>ヘンスウ</t>
    </rPh>
    <rPh sb="116" eb="117">
      <t>レイ</t>
    </rPh>
    <rPh sb="118" eb="120">
      <t>ツイキ</t>
    </rPh>
    <phoneticPr fontId="1"/>
  </si>
  <si>
    <t>1-3-1</t>
    <phoneticPr fontId="1"/>
  </si>
  <si>
    <r>
      <rPr>
        <sz val="11"/>
        <rFont val="HGS創英角ﾎﾟｯﾌﾟ体"/>
        <family val="3"/>
        <charset val="128"/>
      </rPr>
      <t>（補足3-1）</t>
    </r>
    <r>
      <rPr>
        <sz val="11"/>
        <rFont val="ＭＳ Ｐゴシック"/>
        <family val="2"/>
        <scheme val="minor"/>
      </rPr>
      <t>一周期遅れの変数を参照して
いないか、参照していても問題ないか</t>
    </r>
    <r>
      <rPr>
        <sz val="11"/>
        <rFont val="ＭＳ Ｐゴシック"/>
        <family val="3"/>
        <charset val="128"/>
        <scheme val="minor"/>
      </rPr>
      <t xml:space="preserve">
※参照元に個別仕様を引き当てる場合は
　 機種担当者に処理順を確認すること</t>
    </r>
    <rPh sb="7" eb="8">
      <t>イッ</t>
    </rPh>
    <rPh sb="8" eb="10">
      <t>シュウキ</t>
    </rPh>
    <rPh sb="10" eb="11">
      <t>オク</t>
    </rPh>
    <rPh sb="13" eb="15">
      <t>ヘンスウ</t>
    </rPh>
    <rPh sb="16" eb="18">
      <t>サンショウ</t>
    </rPh>
    <rPh sb="26" eb="28">
      <t>サンショウ</t>
    </rPh>
    <rPh sb="33" eb="35">
      <t>モンダイ</t>
    </rPh>
    <rPh sb="41" eb="44">
      <t>サンショウモト</t>
    </rPh>
    <rPh sb="45" eb="47">
      <t>コベツ</t>
    </rPh>
    <rPh sb="47" eb="49">
      <t>シヨウ</t>
    </rPh>
    <rPh sb="50" eb="51">
      <t>ヒ</t>
    </rPh>
    <rPh sb="52" eb="53">
      <t>ア</t>
    </rPh>
    <rPh sb="55" eb="57">
      <t>バアイ</t>
    </rPh>
    <rPh sb="61" eb="63">
      <t>キシュ</t>
    </rPh>
    <rPh sb="63" eb="66">
      <t>タントウシャ</t>
    </rPh>
    <rPh sb="67" eb="70">
      <t>ショリジュン</t>
    </rPh>
    <rPh sb="71" eb="73">
      <t>カクニン</t>
    </rPh>
    <phoneticPr fontId="1"/>
  </si>
  <si>
    <r>
      <t>（補足3-2）</t>
    </r>
    <r>
      <rPr>
        <sz val="11"/>
        <rFont val="ＭＳ Ｐゴシック"/>
        <family val="3"/>
        <charset val="128"/>
        <scheme val="minor"/>
      </rPr>
      <t>pwonで参照する場合、参照元が先にpwon処理を行うことを確認したか？
※参照元に個別仕様を引き当てる場合は
　 機種担当者に処理順を確認すること</t>
    </r>
    <r>
      <rPr>
        <sz val="11"/>
        <rFont val="HGS創英角ﾎﾟｯﾌﾟ体"/>
        <family val="3"/>
        <charset val="128"/>
      </rPr>
      <t xml:space="preserve">
</t>
    </r>
    <rPh sb="12" eb="14">
      <t>サンショウ</t>
    </rPh>
    <rPh sb="16" eb="18">
      <t>バアイ</t>
    </rPh>
    <rPh sb="19" eb="21">
      <t>サンショウ</t>
    </rPh>
    <rPh sb="21" eb="22">
      <t>モト</t>
    </rPh>
    <rPh sb="23" eb="24">
      <t>サキ</t>
    </rPh>
    <rPh sb="29" eb="31">
      <t>ショリ</t>
    </rPh>
    <rPh sb="32" eb="33">
      <t>オコナ</t>
    </rPh>
    <rPh sb="37" eb="39">
      <t>カクニン</t>
    </rPh>
    <phoneticPr fontId="1"/>
  </si>
  <si>
    <r>
      <t xml:space="preserve">外気温センサ値として参照。
ダイハツ個別仕様（yacin-azz-40-a-D34T5）およびD55E引き当てのgatamのCソースにて挙動確認。
</t>
    </r>
    <r>
      <rPr>
        <sz val="11"/>
        <rFont val="ＭＳ Ｐゴシック"/>
        <family val="2"/>
        <charset val="128"/>
        <scheme val="minor"/>
      </rPr>
      <t xml:space="preserve">
意図通りの処理であることを確認済み。</t>
    </r>
    <rPh sb="0" eb="3">
      <t>ガイキオン</t>
    </rPh>
    <rPh sb="6" eb="7">
      <t>チ</t>
    </rPh>
    <rPh sb="10" eb="12">
      <t>サンショウ</t>
    </rPh>
    <rPh sb="19" eb="21">
      <t>コベツ</t>
    </rPh>
    <rPh sb="21" eb="23">
      <t>シヨウ</t>
    </rPh>
    <rPh sb="52" eb="53">
      <t>ヒ</t>
    </rPh>
    <rPh sb="54" eb="55">
      <t>ア</t>
    </rPh>
    <rPh sb="69" eb="71">
      <t>キョドウ</t>
    </rPh>
    <rPh sb="71" eb="73">
      <t>カクニン</t>
    </rPh>
    <rPh sb="76" eb="79">
      <t>イトドオ</t>
    </rPh>
    <rPh sb="81" eb="83">
      <t>ショリ</t>
    </rPh>
    <rPh sb="89" eb="92">
      <t>カクニンズ</t>
    </rPh>
    <phoneticPr fontId="1"/>
  </si>
  <si>
    <r>
      <t>（補足3-2）</t>
    </r>
    <r>
      <rPr>
        <sz val="11"/>
        <rFont val="ＭＳ Ｐゴシック"/>
        <family val="3"/>
        <charset val="128"/>
        <scheme val="minor"/>
      </rPr>
      <t>pwonで参照する場合、参照先が先にpwon処理を行うことを確認したか？
※参照元に個別仕様を引き当てる場合は
　 機種担当者に処理順を確認すること</t>
    </r>
    <r>
      <rPr>
        <sz val="11"/>
        <rFont val="HGS創英角ﾎﾟｯﾌﾟ体"/>
        <family val="3"/>
        <charset val="128"/>
      </rPr>
      <t xml:space="preserve">
</t>
    </r>
    <rPh sb="12" eb="14">
      <t>サンショウ</t>
    </rPh>
    <rPh sb="16" eb="18">
      <t>バアイ</t>
    </rPh>
    <rPh sb="19" eb="22">
      <t>サンショウサキ</t>
    </rPh>
    <rPh sb="23" eb="24">
      <t>サキ</t>
    </rPh>
    <rPh sb="29" eb="31">
      <t>ショリ</t>
    </rPh>
    <rPh sb="32" eb="33">
      <t>オコナ</t>
    </rPh>
    <rPh sb="37" eb="39">
      <t>カクニン</t>
    </rPh>
    <phoneticPr fontId="1"/>
  </si>
  <si>
    <t>cchassis_rqsp4wd2</t>
    <phoneticPr fontId="24"/>
  </si>
  <si>
    <t>公開：32ms
参照：65ms
問題なし。
※65msの遅れは許容範囲</t>
    <rPh sb="0" eb="2">
      <t>コウカイ</t>
    </rPh>
    <rPh sb="8" eb="10">
      <t>サンショウ</t>
    </rPh>
    <rPh sb="17" eb="19">
      <t>モンダイ</t>
    </rPh>
    <rPh sb="29" eb="30">
      <t>オク</t>
    </rPh>
    <rPh sb="32" eb="34">
      <t>キョヨウ</t>
    </rPh>
    <rPh sb="34" eb="36">
      <t>ハンイ</t>
    </rPh>
    <phoneticPr fontId="12"/>
  </si>
  <si>
    <t>常時更新のため問題なし。</t>
    <phoneticPr fontId="12"/>
  </si>
  <si>
    <t>問題なし。
※車速制限は、駆動力を徐変させて落として、実現する機能であり、65ms遅れたとしても問題なし。</t>
    <rPh sb="0" eb="2">
      <t>モンダイ</t>
    </rPh>
    <rPh sb="7" eb="9">
      <t>シャソク</t>
    </rPh>
    <rPh sb="9" eb="11">
      <t>セイゲン</t>
    </rPh>
    <rPh sb="13" eb="16">
      <t>クドウリョク</t>
    </rPh>
    <rPh sb="17" eb="19">
      <t>ジョヘン</t>
    </rPh>
    <rPh sb="22" eb="23">
      <t>オ</t>
    </rPh>
    <rPh sb="27" eb="29">
      <t>ジツゲン</t>
    </rPh>
    <rPh sb="31" eb="33">
      <t>キノウ</t>
    </rPh>
    <rPh sb="41" eb="42">
      <t>オク</t>
    </rPh>
    <rPh sb="48" eb="50">
      <t>モンダイ</t>
    </rPh>
    <phoneticPr fontId="12"/>
  </si>
  <si>
    <t>・３－３</t>
    <phoneticPr fontId="12"/>
  </si>
  <si>
    <t>問題なし。
※類似変数のcchassis_yxsp4wdは、【15電子PF以前】であり、【19電子PF以降】は本RAMのみ。</t>
    <rPh sb="7" eb="11">
      <t>ルイジヘンスウ</t>
    </rPh>
    <rPh sb="33" eb="35">
      <t>デンシ</t>
    </rPh>
    <rPh sb="37" eb="39">
      <t>イゼン</t>
    </rPh>
    <rPh sb="47" eb="49">
      <t>デンシ</t>
    </rPh>
    <rPh sb="51" eb="53">
      <t>イコウ</t>
    </rPh>
    <rPh sb="55" eb="56">
      <t>ホン</t>
    </rPh>
    <phoneticPr fontId="12"/>
  </si>
  <si>
    <t>big_cchassis_yxsp4wdと同時性確保が必要。
※既存RAMcchassis_yxsp4wdと同様に実装する。</t>
    <rPh sb="21" eb="23">
      <t>ドウジ</t>
    </rPh>
    <rPh sb="23" eb="24">
      <t>セイ</t>
    </rPh>
    <rPh sb="24" eb="26">
      <t>カクホ</t>
    </rPh>
    <rPh sb="27" eb="29">
      <t>ヒツヨウ</t>
    </rPh>
    <rPh sb="32" eb="34">
      <t>キゾン</t>
    </rPh>
    <rPh sb="54" eb="56">
      <t>ドウヨウ</t>
    </rPh>
    <rPh sb="57" eb="59">
      <t>ジッソウ</t>
    </rPh>
    <phoneticPr fontId="12"/>
  </si>
  <si>
    <t xml:space="preserve">公開元：zcan
自部品：eptm
問題なし。
</t>
    <rPh sb="0" eb="3">
      <t>コウカイモト</t>
    </rPh>
    <rPh sb="9" eb="12">
      <t>ジブヒン</t>
    </rPh>
    <rPh sb="19" eb="21">
      <t>モンダイ</t>
    </rPh>
    <phoneticPr fontId="12"/>
  </si>
  <si>
    <t>エッジフラグでないため問題なし</t>
    <phoneticPr fontId="12"/>
  </si>
  <si>
    <t xml:space="preserve">モード、パターン、ステップでないため、問題なし
</t>
    <phoneticPr fontId="12"/>
  </si>
  <si>
    <t>調停器に要求を出していない為、対象外。</t>
    <rPh sb="0" eb="3">
      <t>チョウテイキ</t>
    </rPh>
    <rPh sb="4" eb="6">
      <t>ヨウキュウ</t>
    </rPh>
    <rPh sb="7" eb="8">
      <t>ダ</t>
    </rPh>
    <rPh sb="13" eb="14">
      <t>タメ</t>
    </rPh>
    <rPh sb="15" eb="18">
      <t>タイショウガイ</t>
    </rPh>
    <phoneticPr fontId="12"/>
  </si>
  <si>
    <t>No</t>
    <phoneticPr fontId="12"/>
  </si>
  <si>
    <t>元々別ECUからのCAN受信であるため、問題なし</t>
    <rPh sb="0" eb="2">
      <t>モトモト</t>
    </rPh>
    <rPh sb="2" eb="3">
      <t>ベツ</t>
    </rPh>
    <rPh sb="12" eb="14">
      <t>ジュシン</t>
    </rPh>
    <rPh sb="20" eb="22">
      <t>モンダイ</t>
    </rPh>
    <phoneticPr fontId="12"/>
  </si>
  <si>
    <t>同時発行予定なし</t>
    <rPh sb="0" eb="4">
      <t>ドウジハッコウ</t>
    </rPh>
    <rPh sb="4" eb="6">
      <t>ヨテイ</t>
    </rPh>
    <phoneticPr fontId="12"/>
  </si>
  <si>
    <t>pwonでの参照無し</t>
    <rPh sb="6" eb="9">
      <t>サンショウナ</t>
    </rPh>
    <phoneticPr fontId="1"/>
  </si>
  <si>
    <t>Ver2.08</t>
    <phoneticPr fontId="1"/>
  </si>
  <si>
    <t>https://toyotajp.sharepoint.com/:f:/r/sites/msspo_ENG_share/Shared%20Documents/%E3%82%A8%E3%83%B3%E3%82%B8%E3%83%B3%E5%88%B6%E5%BE%A1%E5%85%B1%E6%9C%89/%E3%83%9E%E3%83%AB%E3%83%81%E3%82%B3%E3%82%A2%E5%AF%BE%E5%BF%9C/%E3%82%B3%E3%82%A2%E9%85%8D%E7%BD%AE%EF%BC%88%E5%8F%82%E8%80%83%EF%BC%89?csf=1&amp;web=1&amp;e=fw3Odb</t>
    <phoneticPr fontId="1"/>
  </si>
  <si>
    <t>EPF5-3G八木橋
EPF5-3G村上</t>
    <rPh sb="7" eb="10">
      <t>ヤギハシ</t>
    </rPh>
    <rPh sb="18" eb="20">
      <t>ムラカミ</t>
    </rPh>
    <phoneticPr fontId="1"/>
  </si>
  <si>
    <t>・1 にCAN参照時の注意を追記、「記入例」シートのCANの例も対応したものに修正
・「参照元チェックリストの説明」シート
　コア配置の資料のリンクを更新</t>
    <rPh sb="7" eb="10">
      <t>サンショウジ</t>
    </rPh>
    <rPh sb="11" eb="13">
      <t>チュウイ</t>
    </rPh>
    <rPh sb="14" eb="16">
      <t>ツイキ</t>
    </rPh>
    <rPh sb="30" eb="31">
      <t>レイ</t>
    </rPh>
    <rPh sb="32" eb="34">
      <t>タイオウ</t>
    </rPh>
    <rPh sb="39" eb="41">
      <t>シュウセイ</t>
    </rPh>
    <rPh sb="68" eb="70">
      <t>シリョウ</t>
    </rPh>
    <rPh sb="75" eb="77">
      <t>コウシン</t>
    </rPh>
    <phoneticPr fontId="1"/>
  </si>
  <si>
    <t>参照変数は本当に欲しかった挙動をする
信号か？挙動を全て把握したか
※参照元が他ドメイン仕様の場合は
　 確認した対象を明記すること
※参照元がCAN信号の場合、参照するIFの
　LSB、オフセットを確認すること
　(CAN受信時にオフセットを戻す処理を実施
  する場合あり)</t>
    <rPh sb="36" eb="39">
      <t>サンショウモト</t>
    </rPh>
    <rPh sb="40" eb="41">
      <t>タ</t>
    </rPh>
    <rPh sb="45" eb="47">
      <t>シヨウ</t>
    </rPh>
    <rPh sb="48" eb="50">
      <t>バアイ</t>
    </rPh>
    <rPh sb="54" eb="56">
      <t>カクニン</t>
    </rPh>
    <rPh sb="58" eb="60">
      <t>タイショウ</t>
    </rPh>
    <rPh sb="61" eb="63">
      <t>メイキ</t>
    </rPh>
    <phoneticPr fontId="1"/>
  </si>
  <si>
    <t>1-4-1</t>
    <phoneticPr fontId="1"/>
  </si>
  <si>
    <t>1-4-2</t>
    <phoneticPr fontId="1"/>
  </si>
  <si>
    <t>1-4-3</t>
    <phoneticPr fontId="1"/>
  </si>
  <si>
    <t>Yes or No</t>
    <phoneticPr fontId="1"/>
  </si>
  <si>
    <t>車速制限を拡大する本機能のために新設した信号のため問題なし
LSB：1
オフセット：0(zcidでｵﾌｾｯﾄ処理済み)</t>
    <rPh sb="0" eb="4">
      <t>シャソクセイゲン</t>
    </rPh>
    <rPh sb="5" eb="7">
      <t>カクダイ</t>
    </rPh>
    <rPh sb="9" eb="12">
      <t>ホンキノウ</t>
    </rPh>
    <rPh sb="16" eb="18">
      <t>シンセツ</t>
    </rPh>
    <rPh sb="20" eb="22">
      <t>シンゴウ</t>
    </rPh>
    <rPh sb="25" eb="27">
      <t>モンダイ</t>
    </rPh>
    <rPh sb="55" eb="58">
      <t>ショリズ</t>
    </rPh>
    <phoneticPr fontId="12"/>
  </si>
  <si>
    <t>参照変数は本当に欲しかった挙動をする
信号か？挙動を全て把握したか
※参照元が他ドメイン仕様の場合は
　 確認した対象を明記すること
※参照元がCAN信号の場合、参照するIFの
　LSB、オフセットを確認すること
　(CAN受信時にオフセットを戻す処理を実施
  する場合あり)</t>
    <phoneticPr fontId="1"/>
  </si>
  <si>
    <r>
      <rPr>
        <u/>
        <sz val="11"/>
        <color theme="0" tint="-0.34998626667073579"/>
        <rFont val="ＭＳ Ｐゴシック"/>
        <family val="3"/>
        <charset val="128"/>
        <scheme val="minor"/>
      </rPr>
      <t>pwon処理：</t>
    </r>
    <r>
      <rPr>
        <sz val="11"/>
        <color theme="0" tint="-0.34998626667073579"/>
        <rFont val="ＭＳ Ｐゴシック"/>
        <family val="2"/>
        <charset val="128"/>
        <scheme val="minor"/>
      </rPr>
      <t xml:space="preserve">
・前トリップ水温とpwon後水温の差が所定値未満のとき：前トリップ終了時外気温を公開
（ソーク時間短、エンジン受熱を考慮して外気温を更新しない）
・前トリップ水温とpwon後水温の差が所定値以上のとき：外気温センサ値を公開
（ソーク時間長、エンジン受熱影響ないため、センサ値で外気温を更新）
</t>
    </r>
    <r>
      <rPr>
        <u/>
        <sz val="11"/>
        <color theme="0" tint="-0.34998626667073579"/>
        <rFont val="ＭＳ Ｐゴシック"/>
        <family val="3"/>
        <charset val="128"/>
        <scheme val="minor"/>
      </rPr>
      <t xml:space="preserve">フェイルセーフ値：
</t>
    </r>
    <r>
      <rPr>
        <sz val="11"/>
        <color theme="0" tint="-0.34998626667073579"/>
        <rFont val="ＭＳ Ｐゴシック"/>
        <family val="2"/>
        <charset val="128"/>
        <scheme val="minor"/>
      </rPr>
      <t>・gatam_gaxftam=ON</t>
    </r>
    <r>
      <rPr>
        <sz val="11"/>
        <color theme="0" tint="-0.34998626667073579"/>
        <rFont val="ＭＳ Ｐゴシック"/>
        <family val="3"/>
        <charset val="128"/>
        <scheme val="minor"/>
      </rPr>
      <t xml:space="preserve">時にyacin_yactho←-45℃（外気温センサ電圧レンジ外れ時にgaxftam←ON(即時)）
（fbody_yacambのフェイル値と同値）
</t>
    </r>
    <r>
      <rPr>
        <u/>
        <sz val="11"/>
        <color theme="0" tint="-0.34998626667073579"/>
        <rFont val="ＭＳ Ｐゴシック"/>
        <family val="3"/>
        <charset val="128"/>
        <scheme val="minor"/>
      </rPr>
      <t xml:space="preserve">センサ正常時処理：
</t>
    </r>
    <r>
      <rPr>
        <sz val="11"/>
        <color theme="0" tint="-0.34998626667073579"/>
        <rFont val="ＭＳ Ｐゴシック"/>
        <family val="3"/>
        <charset val="128"/>
        <scheme val="minor"/>
      </rPr>
      <t>・低車速時：センサ値が上がっても高温側には更新しない（エンジン受熱影響考慮）
・低車速でないとき：高温側更新は加算徐変を行う（1℃/200秒相当）</t>
    </r>
    <rPh sb="4" eb="6">
      <t>ショリ</t>
    </rPh>
    <rPh sb="9" eb="10">
      <t>マエ</t>
    </rPh>
    <rPh sb="14" eb="16">
      <t>スイオン</t>
    </rPh>
    <rPh sb="21" eb="22">
      <t>ゴ</t>
    </rPh>
    <rPh sb="22" eb="24">
      <t>スイオン</t>
    </rPh>
    <rPh sb="25" eb="26">
      <t>サ</t>
    </rPh>
    <rPh sb="27" eb="30">
      <t>ショテイチ</t>
    </rPh>
    <rPh sb="30" eb="32">
      <t>ミマン</t>
    </rPh>
    <rPh sb="36" eb="37">
      <t>マエ</t>
    </rPh>
    <rPh sb="41" eb="44">
      <t>シュウリョウジ</t>
    </rPh>
    <rPh sb="44" eb="47">
      <t>ガイキオン</t>
    </rPh>
    <rPh sb="48" eb="50">
      <t>コウカイ</t>
    </rPh>
    <rPh sb="55" eb="57">
      <t>ジカン</t>
    </rPh>
    <rPh sb="57" eb="58">
      <t>タン</t>
    </rPh>
    <rPh sb="63" eb="65">
      <t>ジュネツ</t>
    </rPh>
    <rPh sb="66" eb="68">
      <t>コウリョ</t>
    </rPh>
    <rPh sb="70" eb="73">
      <t>ガイキオン</t>
    </rPh>
    <rPh sb="74" eb="76">
      <t>コウシン</t>
    </rPh>
    <rPh sb="82" eb="83">
      <t>マエ</t>
    </rPh>
    <rPh sb="87" eb="89">
      <t>スイオン</t>
    </rPh>
    <rPh sb="94" eb="95">
      <t>ゴ</t>
    </rPh>
    <rPh sb="95" eb="97">
      <t>スイオン</t>
    </rPh>
    <rPh sb="98" eb="99">
      <t>サ</t>
    </rPh>
    <rPh sb="100" eb="103">
      <t>ショテイチ</t>
    </rPh>
    <rPh sb="103" eb="105">
      <t>イジョウ</t>
    </rPh>
    <rPh sb="115" eb="116">
      <t>チ</t>
    </rPh>
    <rPh sb="117" eb="119">
      <t>コウカイ</t>
    </rPh>
    <rPh sb="124" eb="126">
      <t>ジカン</t>
    </rPh>
    <rPh sb="126" eb="127">
      <t>チョウ</t>
    </rPh>
    <rPh sb="132" eb="134">
      <t>ジュネツ</t>
    </rPh>
    <rPh sb="134" eb="136">
      <t>エイキョウ</t>
    </rPh>
    <rPh sb="144" eb="145">
      <t>チ</t>
    </rPh>
    <rPh sb="146" eb="149">
      <t>ガイキオン</t>
    </rPh>
    <rPh sb="150" eb="152">
      <t>コウシン</t>
    </rPh>
    <rPh sb="161" eb="162">
      <t>チ</t>
    </rPh>
    <rPh sb="181" eb="182">
      <t>ジ</t>
    </rPh>
    <rPh sb="227" eb="229">
      <t>ソクジ</t>
    </rPh>
    <rPh sb="250" eb="251">
      <t>チ</t>
    </rPh>
    <rPh sb="252" eb="254">
      <t>ドウチ</t>
    </rPh>
    <rPh sb="259" eb="262">
      <t>セイジョウジ</t>
    </rPh>
    <rPh sb="262" eb="264">
      <t>ショリ</t>
    </rPh>
    <rPh sb="267" eb="271">
      <t>テイシャソクジ</t>
    </rPh>
    <rPh sb="275" eb="276">
      <t>チ</t>
    </rPh>
    <rPh sb="277" eb="278">
      <t>ア</t>
    </rPh>
    <rPh sb="282" eb="285">
      <t>コウオンガワ</t>
    </rPh>
    <rPh sb="287" eb="289">
      <t>コウシン</t>
    </rPh>
    <rPh sb="297" eb="301">
      <t>ジュネツエイキョウ</t>
    </rPh>
    <rPh sb="301" eb="303">
      <t>コウリョ</t>
    </rPh>
    <rPh sb="306" eb="309">
      <t>テイシャソク</t>
    </rPh>
    <rPh sb="315" eb="317">
      <t>コウオン</t>
    </rPh>
    <rPh sb="317" eb="318">
      <t>ガワ</t>
    </rPh>
    <rPh sb="318" eb="320">
      <t>コウシン</t>
    </rPh>
    <rPh sb="321" eb="325">
      <t>カサンジョヘン</t>
    </rPh>
    <rPh sb="326" eb="327">
      <t>オコナ</t>
    </rPh>
    <rPh sb="335" eb="336">
      <t>ビョウ</t>
    </rPh>
    <rPh sb="336" eb="338">
      <t>ソウトウ</t>
    </rPh>
    <phoneticPr fontId="1"/>
  </si>
  <si>
    <t>Yes</t>
    <phoneticPr fontId="1"/>
  </si>
  <si>
    <t>No</t>
    <phoneticPr fontId="1"/>
  </si>
  <si>
    <t>定数の為、対象外。</t>
    <phoneticPr fontId="1"/>
  </si>
  <si>
    <t>狙い通り参照できている。
※CAN途絶中に不要な車速制限が入らない側になっている。
1000msごとに車速を徐変して制限する機能なので、IGON時のCAN途絶中（300ms）や走行中の瞬断に対して余裕あり。
また、既存RAM(cchassis_yrqsp4wd)【15電子PF以前】も同様な設定となっており市場実績あり。</t>
    <rPh sb="0" eb="1">
      <t>ネラ</t>
    </rPh>
    <rPh sb="2" eb="3">
      <t>ドオ</t>
    </rPh>
    <rPh sb="4" eb="6">
      <t>サンショウ</t>
    </rPh>
    <rPh sb="17" eb="19">
      <t>トゼツ</t>
    </rPh>
    <rPh sb="19" eb="20">
      <t>チュウ</t>
    </rPh>
    <rPh sb="21" eb="23">
      <t>フヨウ</t>
    </rPh>
    <rPh sb="24" eb="26">
      <t>シャソク</t>
    </rPh>
    <rPh sb="26" eb="28">
      <t>セイゲン</t>
    </rPh>
    <rPh sb="29" eb="30">
      <t>ハイ</t>
    </rPh>
    <rPh sb="33" eb="34">
      <t>ガワ</t>
    </rPh>
    <rPh sb="54" eb="56">
      <t>ジョヘン</t>
    </rPh>
    <rPh sb="58" eb="60">
      <t>セイゲン</t>
    </rPh>
    <rPh sb="62" eb="64">
      <t>キノウ</t>
    </rPh>
    <rPh sb="72" eb="73">
      <t>ジ</t>
    </rPh>
    <rPh sb="77" eb="80">
      <t>トゼツチュウ</t>
    </rPh>
    <rPh sb="88" eb="91">
      <t>ソウコウチュウ</t>
    </rPh>
    <rPh sb="92" eb="94">
      <t>シュンダン</t>
    </rPh>
    <rPh sb="95" eb="96">
      <t>タイ</t>
    </rPh>
    <rPh sb="98" eb="100">
      <t>ヨユウ</t>
    </rPh>
    <rPh sb="107" eb="109">
      <t>キゾン</t>
    </rPh>
    <rPh sb="134" eb="136">
      <t>デンシ</t>
    </rPh>
    <rPh sb="138" eb="140">
      <t>イゼン</t>
    </rPh>
    <rPh sb="142" eb="144">
      <t>ドウヨウ</t>
    </rPh>
    <rPh sb="145" eb="147">
      <t>セッテイ</t>
    </rPh>
    <rPh sb="153" eb="155">
      <t>シジョウ</t>
    </rPh>
    <rPh sb="155" eb="157">
      <t>ジッセキ</t>
    </rPh>
    <phoneticPr fontId="12"/>
  </si>
  <si>
    <t>初期値：パワーON時の算出値
FS値：なし</t>
    <phoneticPr fontId="1"/>
  </si>
  <si>
    <t>epim_expimfを参照してフェール値を出力する処理をするため、問題なし。</t>
    <phoneticPr fontId="1"/>
  </si>
  <si>
    <t>エタノール濃度センサを使用してポート噴射部の濃度を推定
噴射時期切り替わり時増量係数算出マップ、ピストン温度判定値、ボア温度判定値のマップ引数として使用
狙い通り参照出来ており、問題なし</t>
    <phoneticPr fontId="12"/>
  </si>
  <si>
    <t>ﾉｯｸｾﾝｻﾌｪｲﾙ時およびNEｾﾝｻﾌｪｲﾙ時には、KCSｼｽﾃﾑﾌｪｲﾙ（eknkf_exkcstf＝ON）となり、更新されなくなり、実際の点火に反映される学習値と乖離する。
その結果、KL制限したい領域で制限できなくなる場合があるため、eknkf_exkcstf＝ON時は安全側（ﾉｯｸならない側）に倒れるよう定数設定済み
問題なし</t>
    <rPh sb="10" eb="11">
      <t>ジ</t>
    </rPh>
    <rPh sb="23" eb="24">
      <t>ジ</t>
    </rPh>
    <rPh sb="69" eb="71">
      <t>ジッサイ</t>
    </rPh>
    <rPh sb="72" eb="74">
      <t>テンカ</t>
    </rPh>
    <rPh sb="75" eb="77">
      <t>ハンエイ</t>
    </rPh>
    <rPh sb="80" eb="82">
      <t>ガクシュウ</t>
    </rPh>
    <rPh sb="82" eb="83">
      <t>チ</t>
    </rPh>
    <rPh sb="84" eb="86">
      <t>カイリ</t>
    </rPh>
    <rPh sb="92" eb="94">
      <t>ケッカ</t>
    </rPh>
    <rPh sb="97" eb="99">
      <t>セイゲン</t>
    </rPh>
    <rPh sb="102" eb="104">
      <t>リョウイキ</t>
    </rPh>
    <rPh sb="105" eb="107">
      <t>セイゲン</t>
    </rPh>
    <rPh sb="113" eb="115">
      <t>バアイ</t>
    </rPh>
    <rPh sb="137" eb="138">
      <t>ジ</t>
    </rPh>
    <rPh sb="139" eb="141">
      <t>アンゼン</t>
    </rPh>
    <rPh sb="141" eb="142">
      <t>ガワ</t>
    </rPh>
    <rPh sb="150" eb="151">
      <t>ガワ</t>
    </rPh>
    <rPh sb="153" eb="154">
      <t>タオ</t>
    </rPh>
    <rPh sb="158" eb="160">
      <t>ジョウスウ</t>
    </rPh>
    <rPh sb="160" eb="162">
      <t>セッテイ</t>
    </rPh>
    <rPh sb="162" eb="163">
      <t>ズ</t>
    </rPh>
    <rPh sb="165" eb="167">
      <t>モンダイ</t>
    </rPh>
    <phoneticPr fontId="12"/>
  </si>
  <si>
    <t>ｾﾝｻﾌｪｲﾙ時にONとなるﾌﾗｸﾞで、意図通りであり問題なし</t>
    <rPh sb="7" eb="8">
      <t>ジ</t>
    </rPh>
    <rPh sb="20" eb="23">
      <t>イトドオ</t>
    </rPh>
    <rPh sb="27" eb="29">
      <t>モンダイ</t>
    </rPh>
    <phoneticPr fontId="12"/>
  </si>
  <si>
    <t>初期値・フェイルセーフ(FS)値は？
フェイル時の処理がない場合は「なし」と記載する。
※1-4-1がYesの場合(CAN信号の場合)
FS値は通信途絶時とセンサフェイル時が異なる場合がある為、下記例の様に記載する
●外気温センサ信号の例
FS値(途絶時)　  ：-48℃
      (フェイル時)：-45℃</t>
    <rPh sb="0" eb="3">
      <t>ショキチ</t>
    </rPh>
    <rPh sb="15" eb="16">
      <t>アタイ</t>
    </rPh>
    <rPh sb="56" eb="58">
      <t>バアイ</t>
    </rPh>
    <phoneticPr fontId="1"/>
  </si>
  <si>
    <t>CAN通信の信号か？
 Yes/Noで回答</t>
    <rPh sb="3" eb="5">
      <t>ツウシン</t>
    </rPh>
    <rPh sb="6" eb="8">
      <t>シンゴウ</t>
    </rPh>
    <rPh sb="19" eb="21">
      <t>カイトウ</t>
    </rPh>
    <phoneticPr fontId="1"/>
  </si>
  <si>
    <t>・初期値：
・FS値(途絶時)：
・FS値(フェイル時)：</t>
    <rPh sb="1" eb="4">
      <t>ショキチ</t>
    </rPh>
    <rPh sb="9" eb="10">
      <t>アタイ</t>
    </rPh>
    <rPh sb="11" eb="14">
      <t>トゼツジ</t>
    </rPh>
    <phoneticPr fontId="1"/>
  </si>
  <si>
    <t>初期値：ednalccal_ednalcpim(ﾎﾟｰﾄ噴射部平均ｴﾀﾉｰﾙ濃度(ﾊﾞｯｸｱｯﾌﾟ用))
FS値：なし</t>
    <phoneticPr fontId="1"/>
  </si>
  <si>
    <t>初期値：0（ただし、初回処理でSRAMﾍﾞｰｽの算出結果を反映）
FS値：なし</t>
    <phoneticPr fontId="1"/>
  </si>
  <si>
    <t>初期値：0
FS値：なし</t>
    <phoneticPr fontId="1"/>
  </si>
  <si>
    <t>初期値：230(制限要求無し)
FS値(途絶時)：230(制限要求無し)
FS値(フェイル時)：なし</t>
    <rPh sb="20" eb="22">
      <t>トゼツ</t>
    </rPh>
    <rPh sb="22" eb="23">
      <t>ジ</t>
    </rPh>
    <rPh sb="29" eb="31">
      <t>セイゲン</t>
    </rPh>
    <rPh sb="31" eb="33">
      <t>ヨウキュウ</t>
    </rPh>
    <rPh sb="33" eb="34">
      <t>ナ</t>
    </rPh>
    <rPh sb="45" eb="46">
      <t>トキ</t>
    </rPh>
    <phoneticPr fontId="1"/>
  </si>
  <si>
    <t>HVの始動要求無判定に使用、意図通りの参照で問題なし</t>
    <phoneticPr fontId="1"/>
  </si>
  <si>
    <t>pwonでは参照していない</t>
    <rPh sb="6" eb="8">
      <t>サンショウ</t>
    </rPh>
    <phoneticPr fontId="1"/>
  </si>
  <si>
    <t>・esimtimpm_c011a/esimtimpm/vdg_esimtimpm_32msl_cal/vds_esimtimpm_plus6f_cal/vds_esimtimpm_batstate_jdg/vds_esimtimpm_egstahv_cal</t>
    <phoneticPr fontId="1"/>
  </si>
  <si>
    <t>類似した変数は無し</t>
    <phoneticPr fontId="1"/>
  </si>
  <si>
    <t>ehvstate_exevとehvstate_exstpを参照しているが、同時性保証は不要</t>
    <phoneticPr fontId="1"/>
  </si>
  <si>
    <t>○estate　→　efunc</t>
    <phoneticPr fontId="1"/>
  </si>
  <si>
    <t>エッジフラグではないため問題なし</t>
    <rPh sb="12" eb="14">
      <t>モンダイ</t>
    </rPh>
    <phoneticPr fontId="1"/>
  </si>
  <si>
    <t>モード、パターン、ステップではないため問題なし</t>
    <phoneticPr fontId="1"/>
  </si>
  <si>
    <t>調停器への要求ではない</t>
    <rPh sb="0" eb="3">
      <t>チョウテイキ</t>
    </rPh>
    <rPh sb="5" eb="7">
      <t>ヨウキュウ</t>
    </rPh>
    <phoneticPr fontId="1"/>
  </si>
  <si>
    <t>参照元部品が同一コアのため問題なし</t>
    <phoneticPr fontId="12"/>
  </si>
  <si>
    <t>同時仕様発行予定なし</t>
    <rPh sb="0" eb="8">
      <t>ドウジシヨウハッコウヨテイ</t>
    </rPh>
    <phoneticPr fontId="12"/>
  </si>
  <si>
    <t>ehvstate_exstp
(hv_modid,hv_modid_fs)</t>
    <phoneticPr fontId="1"/>
  </si>
  <si>
    <t>フェイル時、参照箇所の他条件が不成立となるため、処理が動作することはなく、意図通り参照できているため問題なし。</t>
    <phoneticPr fontId="1"/>
  </si>
  <si>
    <t>初期値：0
FS値(途絶時)：
・PLバスのみ途絶時：hv_modid_fs参照に切り替わり正常時と同じ処理を実施。
・P・PLバス両方途絶時：OFF（hv_modid,hv_modid_fsの通信途絶時は0：エンジン停止状態 となるので、ehvstate_exstpとしてはOFFになる）
FS値(フェイル時)：なし</t>
    <rPh sb="10" eb="12">
      <t>トゼツ</t>
    </rPh>
    <rPh sb="12" eb="13">
      <t>ジ</t>
    </rPh>
    <rPh sb="23" eb="25">
      <t>トゼツ</t>
    </rPh>
    <rPh sb="25" eb="26">
      <t>ジ</t>
    </rPh>
    <rPh sb="38" eb="40">
      <t>サンショウ</t>
    </rPh>
    <rPh sb="41" eb="42">
      <t>キ</t>
    </rPh>
    <rPh sb="43" eb="44">
      <t>カ</t>
    </rPh>
    <rPh sb="46" eb="49">
      <t>セイジョウジ</t>
    </rPh>
    <rPh sb="50" eb="51">
      <t>オナ</t>
    </rPh>
    <rPh sb="52" eb="54">
      <t>ショリ</t>
    </rPh>
    <rPh sb="55" eb="57">
      <t>ジッシ</t>
    </rPh>
    <rPh sb="66" eb="68">
      <t>リョウホウ</t>
    </rPh>
    <rPh sb="68" eb="70">
      <t>トゼツ</t>
    </rPh>
    <rPh sb="70" eb="71">
      <t>トキ</t>
    </rPh>
    <rPh sb="97" eb="99">
      <t>ツウシン</t>
    </rPh>
    <rPh sb="99" eb="101">
      <t>トゼツ</t>
    </rPh>
    <rPh sb="101" eb="102">
      <t>トキ</t>
    </rPh>
    <rPh sb="148" eb="149">
      <t>アタイ</t>
    </rPh>
    <rPh sb="154" eb="155">
      <t>トキ</t>
    </rPh>
    <phoneticPr fontId="1"/>
  </si>
  <si>
    <t>[参照元]
　部品CSW：【FFV制御有】
　公開CSW：【ﾃﾞｭｱﾙINJ】OR【ﾎﾟｰﾄ】
[自部品]
　部品CSW：【ﾃﾞｭｱﾙINJ】OR【D-4】
　処理CSW：【FFV制御有】AND【ﾃﾞｭｱﾙINJ】
公開元(データ型)：s2/f4
参照先(データ型)：f4
[IF不整合起きない理由]
参照条件の方が限定、型も合っているため、IF不整合は起きないため問題なし</t>
    <rPh sb="7" eb="9">
      <t>ブヒン</t>
    </rPh>
    <rPh sb="23" eb="25">
      <t>コウカイ</t>
    </rPh>
    <rPh sb="55" eb="57">
      <t>ブヒン</t>
    </rPh>
    <rPh sb="80" eb="82">
      <t>ショリ</t>
    </rPh>
    <rPh sb="115" eb="117">
      <t>コウカイ</t>
    </rPh>
    <rPh sb="128" eb="129">
      <t>サキ</t>
    </rPh>
    <rPh sb="133" eb="134">
      <t>ブ</t>
    </rPh>
    <rPh sb="156" eb="158">
      <t>ジョウケン</t>
    </rPh>
    <rPh sb="161" eb="163">
      <t>サンショウ</t>
    </rPh>
    <rPh sb="164" eb="165">
      <t>カタ</t>
    </rPh>
    <rPh sb="166" eb="167">
      <t>ア</t>
    </rPh>
    <phoneticPr fontId="12"/>
  </si>
  <si>
    <r>
      <rPr>
        <sz val="11"/>
        <rFont val="HGS創英角ﾎﾟｯﾌﾟ体"/>
        <family val="3"/>
        <charset val="128"/>
      </rPr>
      <t>（補足4）</t>
    </r>
    <r>
      <rPr>
        <sz val="11"/>
        <rFont val="ＭＳ Ｐゴシック"/>
        <family val="2"/>
        <scheme val="minor"/>
      </rPr>
      <t xml:space="preserve">初期値・フェイルセーフ移行までの
値・フェイルセーフ値まで含めて、狙い通りに
参照出来ているか。問題無い理由を記載。
（参照箇所パスを記載し、参照先ごとに判断）
</t>
    </r>
    <r>
      <rPr>
        <sz val="11"/>
        <rFont val="ＭＳ Ｐゴシック"/>
        <family val="3"/>
        <charset val="128"/>
        <scheme val="minor"/>
      </rPr>
      <t xml:space="preserve">
フェイル時が「なし」の場合は、それで大丈夫な理由を記入する。</t>
    </r>
    <rPh sb="53" eb="56">
      <t>モンダイナ</t>
    </rPh>
    <rPh sb="57" eb="59">
      <t>リユウ</t>
    </rPh>
    <rPh sb="60" eb="62">
      <t>キサイ</t>
    </rPh>
    <rPh sb="65" eb="67">
      <t>サンショウ</t>
    </rPh>
    <rPh sb="67" eb="69">
      <t>カショ</t>
    </rPh>
    <rPh sb="72" eb="74">
      <t>キサイ</t>
    </rPh>
    <rPh sb="76" eb="78">
      <t>サンショウ</t>
    </rPh>
    <rPh sb="78" eb="79">
      <t>サキ</t>
    </rPh>
    <rPh sb="82" eb="84">
      <t>ハンダン</t>
    </rPh>
    <rPh sb="98" eb="100">
      <t>バアイ</t>
    </rPh>
    <phoneticPr fontId="1"/>
  </si>
  <si>
    <t>IF不整合が起きないか。
コンパイルSWが参照元と整合しているか（部品全体コンパイルSWと処理にかかっているコンパイルSWも確認）</t>
    <rPh sb="2" eb="5">
      <t>フセイゴウ</t>
    </rPh>
    <rPh sb="6" eb="7">
      <t>オ</t>
    </rPh>
    <phoneticPr fontId="1"/>
  </si>
  <si>
    <t>[参照元]
　部品全体コンパイルSW：なし
　処理コンパイルSW：なし
[自部品]
　部品全体コンパイルSW：【HAC有】AND【吸気管圧力ｾﾝｻ有】
　処理コンパイルSW：【ﾂｲﾝｲﾝﾏﾆ】
公開元(データ型)：s2/f4
参照先(データ型)：f4
[IF不整合起きない理由]
公開元のIFは【ﾂｲﾝｲﾝﾏﾆ】の時のみ存在するIFであることを確認済。
IF不整合は起きないため問題なし。</t>
    <rPh sb="116" eb="117">
      <t>サキ</t>
    </rPh>
    <rPh sb="142" eb="145">
      <t>コウカイモト</t>
    </rPh>
    <rPh sb="159" eb="160">
      <t>トキ</t>
    </rPh>
    <rPh sb="162" eb="164">
      <t>ソンザイ</t>
    </rPh>
    <rPh sb="174" eb="176">
      <t>カクニン</t>
    </rPh>
    <rPh sb="176" eb="177">
      <t>ズミ</t>
    </rPh>
    <rPh sb="181" eb="184">
      <t>フセイゴウ</t>
    </rPh>
    <rPh sb="185" eb="186">
      <t>オ</t>
    </rPh>
    <rPh sb="191" eb="193">
      <t>モンダイ</t>
    </rPh>
    <phoneticPr fontId="1"/>
  </si>
  <si>
    <t>[参照元]
　部品全体コンパイルSW：なし
　処理コンパイルSW：【ALL HV】AND(【FFV制御有】OR【D-4】OR【ﾃﾞｭｱﾙINJ】)　※
[自部品]
　部品全体コンパイルSW：【EG-MG遊星ｷﾞｱ】AND(【FFV制御有】OR【D-4】OR【ﾃﾞｭｱﾙINJ】)
　処理コンパイルSW：なし
公開元(データ型)：u1
参照先(データ型)：u1
[IF不整合起きない理由]
⇒IF不整合の懸念なし。
※本IFは同時採用部品として新設予定で、今回は限定標準のため条件を限定したが、【ALL HV】で設定の予定で記載。</t>
    <rPh sb="210" eb="211">
      <t>ホン</t>
    </rPh>
    <rPh sb="214" eb="216">
      <t>ドウジ</t>
    </rPh>
    <rPh sb="216" eb="218">
      <t>サイヨウ</t>
    </rPh>
    <rPh sb="218" eb="220">
      <t>ブヒン</t>
    </rPh>
    <rPh sb="223" eb="225">
      <t>シンセツ</t>
    </rPh>
    <rPh sb="225" eb="227">
      <t>ヨテイ</t>
    </rPh>
    <rPh sb="229" eb="231">
      <t>コンカイ</t>
    </rPh>
    <rPh sb="232" eb="234">
      <t>ゲンテイ</t>
    </rPh>
    <rPh sb="234" eb="236">
      <t>ヒョウジュン</t>
    </rPh>
    <rPh sb="239" eb="241">
      <t>ジョウケン</t>
    </rPh>
    <rPh sb="242" eb="244">
      <t>ゲンテイ</t>
    </rPh>
    <rPh sb="257" eb="259">
      <t>セッテイ</t>
    </rPh>
    <rPh sb="260" eb="262">
      <t>ヨテイ</t>
    </rPh>
    <rPh sb="263" eb="265">
      <t>キサイ</t>
    </rPh>
    <phoneticPr fontId="1"/>
  </si>
  <si>
    <t>[参照元]
　部品全体コンパイルSW：なし
　公開コンパイルSW：なし
（ただし、部品全体コンパイルSWとして記載はないが、【ﾒｯｼｭｸﾞﾘｯﾄﾞ有】時にac1版でのみ公開）
[自部品]
　部品全体コンパイルSW：なし
　参照コンパイルSW【ﾒｯｼｭｸﾞﾘｯﾄﾞ有】
公開元(データ型)：s2/f4
参照先(データ型)：f4
[IF不整合起きない理由]
公開条件と参照条件が合っており、型も合っているので、IF不整合は起きないため問題なし</t>
    <rPh sb="23" eb="25">
      <t>コウカイ</t>
    </rPh>
    <rPh sb="55" eb="57">
      <t>キサイ</t>
    </rPh>
    <rPh sb="75" eb="76">
      <t>ジ</t>
    </rPh>
    <rPh sb="111" eb="113">
      <t>サンショウ</t>
    </rPh>
    <rPh sb="153" eb="154">
      <t>サキ</t>
    </rPh>
    <rPh sb="179" eb="181">
      <t>コウカイ</t>
    </rPh>
    <rPh sb="181" eb="183">
      <t>ジョウケン</t>
    </rPh>
    <rPh sb="184" eb="186">
      <t>サンショウ</t>
    </rPh>
    <rPh sb="186" eb="188">
      <t>ジョウケン</t>
    </rPh>
    <rPh sb="189" eb="190">
      <t>ア</t>
    </rPh>
    <rPh sb="195" eb="196">
      <t>カタ</t>
    </rPh>
    <rPh sb="197" eb="198">
      <t>ア</t>
    </rPh>
    <rPh sb="207" eb="210">
      <t>フセイゴウ</t>
    </rPh>
    <rPh sb="211" eb="212">
      <t>オ</t>
    </rPh>
    <rPh sb="217" eb="219">
      <t>モンダイ</t>
    </rPh>
    <phoneticPr fontId="12"/>
  </si>
  <si>
    <t>[参照元]
　部品全体コンパイルSW：なし
　公開コンパイルSW：なし
[自部品]
　部品全体コンパイルSW：なし
　参照コンパイルSW：なし
公開元(データ型)：u1
参照先(データ型)：u1
[IF不整合起きない理由]
公開条件と参照条件が合っており、型も合っているので、IF不整合は起きないため問題なし</t>
  </si>
  <si>
    <t>[参照元]
　【Frﾃﾞﾌ保護制御有】AND【19電子PF以降】
[自部品]
　部品CSW：【EFI-ECUｱｸｾﾙ開度算出有】
　処理CSW：【Frﾃﾞﾌ保護制御有】AND【19電子PF以降】
参照元(データ型)：u1
参照先(データ型)：u1
[IF不整合起きない理由]
IF不整合は起きないため問題なし</t>
    <rPh sb="29" eb="31">
      <t>イコウ</t>
    </rPh>
    <phoneticPr fontId="12"/>
  </si>
  <si>
    <t>Ver2.09</t>
    <phoneticPr fontId="1"/>
  </si>
  <si>
    <t>・1-4を、CAN信号かどうか、初期値FS値の記載、狙い通り参照しているか、で記載欄を分割。
・0の書き方を統一するため、ひな形を記載。
・記入例の誤記修正。↑の追加に合わせた記載に修正。</t>
    <rPh sb="9" eb="11">
      <t>シンゴウ</t>
    </rPh>
    <rPh sb="16" eb="19">
      <t>ショキチ</t>
    </rPh>
    <rPh sb="21" eb="22">
      <t>チ</t>
    </rPh>
    <rPh sb="23" eb="25">
      <t>キサイ</t>
    </rPh>
    <rPh sb="26" eb="27">
      <t>ネラ</t>
    </rPh>
    <rPh sb="28" eb="29">
      <t>ドオ</t>
    </rPh>
    <rPh sb="30" eb="32">
      <t>サンショウ</t>
    </rPh>
    <rPh sb="39" eb="41">
      <t>キサイ</t>
    </rPh>
    <rPh sb="41" eb="42">
      <t>ラン</t>
    </rPh>
    <rPh sb="43" eb="45">
      <t>ブンカツ</t>
    </rPh>
    <rPh sb="50" eb="51">
      <t>カ</t>
    </rPh>
    <rPh sb="52" eb="53">
      <t>カタ</t>
    </rPh>
    <rPh sb="54" eb="56">
      <t>トウイツ</t>
    </rPh>
    <rPh sb="63" eb="64">
      <t>ガタ</t>
    </rPh>
    <rPh sb="65" eb="67">
      <t>キサイ</t>
    </rPh>
    <rPh sb="70" eb="72">
      <t>キニュウ</t>
    </rPh>
    <rPh sb="72" eb="73">
      <t>レイ</t>
    </rPh>
    <rPh sb="74" eb="76">
      <t>ゴキ</t>
    </rPh>
    <rPh sb="76" eb="78">
      <t>シュウセイ</t>
    </rPh>
    <rPh sb="81" eb="83">
      <t>ツイカ</t>
    </rPh>
    <rPh sb="84" eb="85">
      <t>ア</t>
    </rPh>
    <rPh sb="88" eb="90">
      <t>キサイ</t>
    </rPh>
    <rPh sb="91" eb="93">
      <t>シュウセイ</t>
    </rPh>
    <phoneticPr fontId="1"/>
  </si>
  <si>
    <t>EPF5-3G加地</t>
    <rPh sb="7" eb="9">
      <t>カチ</t>
    </rPh>
    <phoneticPr fontId="1"/>
  </si>
  <si>
    <t>Ver2.10</t>
  </si>
  <si>
    <t>・対象部品名のセルをファイル名からの自動入力に変更。</t>
    <rPh sb="1" eb="3">
      <t>タイショウ</t>
    </rPh>
    <rPh sb="3" eb="6">
      <t>ブヒンメイ</t>
    </rPh>
    <rPh sb="14" eb="15">
      <t>メイ</t>
    </rPh>
    <rPh sb="18" eb="22">
      <t>ジドウニュウリョク</t>
    </rPh>
    <rPh sb="23" eb="25">
      <t>ヘンコウ</t>
    </rPh>
    <phoneticPr fontId="1"/>
  </si>
  <si>
    <t>EPF5-3G井上</t>
    <rPh sb="7" eb="9">
      <t>イ</t>
    </rPh>
    <phoneticPr fontId="1"/>
  </si>
  <si>
    <t>・下表に従い、ロジック変更シートの次の欄にも情報を記載すること</t>
    <rPh sb="11" eb="13">
      <t>ヘンコウ</t>
    </rPh>
    <phoneticPr fontId="1"/>
  </si>
  <si>
    <t>１１．実装用IF情報</t>
    <phoneticPr fontId="1"/>
  </si>
  <si>
    <t>１０．参照元チェック
≪ 同時採用の必要な部品及び、
本部品のみ採用時対応方法 ≫</t>
    <phoneticPr fontId="1"/>
  </si>
  <si>
    <t>◎新規IF</t>
    <rPh sb="1" eb="3">
      <t>シンキ</t>
    </rPh>
    <phoneticPr fontId="1"/>
  </si>
  <si>
    <t>○本部品での参照が初</t>
    <rPh sb="1" eb="4">
      <t>ホンブヒン</t>
    </rPh>
    <rPh sb="6" eb="8">
      <t>サンショウ</t>
    </rPh>
    <rPh sb="9" eb="10">
      <t>ハツ</t>
    </rPh>
    <phoneticPr fontId="1"/>
  </si>
  <si>
    <t>●参照方法変更</t>
    <rPh sb="1" eb="5">
      <t>サンショウホウホウ</t>
    </rPh>
    <rPh sb="5" eb="7">
      <t>ヘンコウ</t>
    </rPh>
    <phoneticPr fontId="1"/>
  </si>
  <si>
    <t>要</t>
    <rPh sb="0" eb="1">
      <t>ヨウ</t>
    </rPh>
    <phoneticPr fontId="1"/>
  </si>
  <si>
    <t>引き当て指示必要なら記載(※)</t>
    <rPh sb="0" eb="1">
      <t>ヒ</t>
    </rPh>
    <rPh sb="2" eb="3">
      <t>ア</t>
    </rPh>
    <rPh sb="4" eb="6">
      <t>シジ</t>
    </rPh>
    <rPh sb="6" eb="8">
      <t>ヒツヨウ</t>
    </rPh>
    <rPh sb="10" eb="12">
      <t>キサイ</t>
    </rPh>
    <phoneticPr fontId="1"/>
  </si>
  <si>
    <t>不要</t>
    <rPh sb="0" eb="2">
      <t>フヨウ</t>
    </rPh>
    <phoneticPr fontId="1"/>
  </si>
  <si>
    <t>要（Word仕様のみ、Sim仕様なら不要）</t>
    <rPh sb="0" eb="1">
      <t>ヨウ</t>
    </rPh>
    <rPh sb="6" eb="8">
      <t>シヨウ</t>
    </rPh>
    <rPh sb="14" eb="16">
      <t>シヨウ</t>
    </rPh>
    <rPh sb="18" eb="20">
      <t>フヨウ</t>
    </rPh>
    <phoneticPr fontId="1"/>
  </si>
  <si>
    <t>※水温ethwや回転数ene、【ENG油温ｾﾝｻ有】機種でのetheoなど必ず引き当たるものは記載不要</t>
    <rPh sb="1" eb="3">
      <t>スイオン</t>
    </rPh>
    <rPh sb="8" eb="11">
      <t>カイテンスウ</t>
    </rPh>
    <rPh sb="19" eb="21">
      <t>ユオン</t>
    </rPh>
    <rPh sb="24" eb="25">
      <t>アリ</t>
    </rPh>
    <rPh sb="26" eb="28">
      <t>キシュ</t>
    </rPh>
    <rPh sb="37" eb="38">
      <t>カナラ</t>
    </rPh>
    <rPh sb="39" eb="40">
      <t>ヒ</t>
    </rPh>
    <rPh sb="41" eb="42">
      <t>ア</t>
    </rPh>
    <rPh sb="47" eb="49">
      <t>キサイ</t>
    </rPh>
    <rPh sb="49" eb="51">
      <t>フヨウ</t>
    </rPh>
    <phoneticPr fontId="1"/>
  </si>
  <si>
    <t>◎</t>
  </si>
  <si>
    <t>◎</t>
    <phoneticPr fontId="1"/>
  </si>
  <si>
    <t>(1)</t>
    <phoneticPr fontId="24"/>
  </si>
  <si>
    <t>○</t>
  </si>
  <si>
    <t>●</t>
  </si>
  <si>
    <t>(4)</t>
    <phoneticPr fontId="24"/>
  </si>
  <si>
    <t>(5)</t>
    <phoneticPr fontId="24"/>
  </si>
  <si>
    <t>Ver2.11</t>
    <phoneticPr fontId="1"/>
  </si>
  <si>
    <t>・ロジック変更シートの項番を記入するように変更。
・ロジック変更シートから変数の一覧を削除した事に伴い、IF種別による記載内容の表をロジック変更シートから移動。</t>
    <rPh sb="5" eb="7">
      <t>ヘンコウ</t>
    </rPh>
    <rPh sb="11" eb="13">
      <t>コウバン</t>
    </rPh>
    <rPh sb="14" eb="16">
      <t>キニュウ</t>
    </rPh>
    <rPh sb="21" eb="23">
      <t>ヘンコウ</t>
    </rPh>
    <rPh sb="30" eb="32">
      <t>ヘンコウ</t>
    </rPh>
    <rPh sb="37" eb="39">
      <t>ヘンスウ</t>
    </rPh>
    <rPh sb="40" eb="42">
      <t>イチラン</t>
    </rPh>
    <rPh sb="43" eb="45">
      <t>サクジョ</t>
    </rPh>
    <rPh sb="47" eb="48">
      <t>コト</t>
    </rPh>
    <rPh sb="49" eb="50">
      <t>トモナ</t>
    </rPh>
    <rPh sb="54" eb="56">
      <t>シュベツ</t>
    </rPh>
    <rPh sb="59" eb="61">
      <t>キサイ</t>
    </rPh>
    <rPh sb="61" eb="63">
      <t>ナイヨウ</t>
    </rPh>
    <rPh sb="64" eb="65">
      <t>ヒョウ</t>
    </rPh>
    <rPh sb="70" eb="72">
      <t>ヘンコウ</t>
    </rPh>
    <rPh sb="77" eb="79">
      <t>イドウ</t>
    </rPh>
    <phoneticPr fontId="1"/>
  </si>
  <si>
    <t>・下表に従い、ロジック変更シートの該当欄にも情報を記載すること</t>
    <rPh sb="11" eb="13">
      <t>ヘンコウ</t>
    </rPh>
    <rPh sb="17" eb="19">
      <t>ガイトウ</t>
    </rPh>
    <phoneticPr fontId="1"/>
  </si>
  <si>
    <t>(1)
(2)</t>
    <phoneticPr fontId="24"/>
  </si>
  <si>
    <t>(2)
(3)</t>
    <phoneticPr fontId="24"/>
  </si>
  <si>
    <t>(2)
(4)</t>
    <phoneticPr fontId="24"/>
  </si>
  <si>
    <t>[参照元] 
 部品全体コンパイルSW：【ALL HV】
 処理コンパイルSW：なし
[自部品]
 部品全体コンパイルSW：なし
 処理コンパイルSW：
(1)(【PLUS6fｾﾝｻ】OR【ZFAS_U7ｾﾝｻ】)AND【ALL HV】
(2)【ALL HV】
公開元(データ型)：u1
参照先(データ型)：u1
[IF不整合起きない理由]
(1)自部品での参照条件の方が公開条件より狭く、CSWの整合問題なし
(2)公開条件と参照条件が同じCSWのため整合問題なし</t>
    <rPh sb="1" eb="3">
      <t>サンショウ</t>
    </rPh>
    <rPh sb="3" eb="4">
      <t>モト</t>
    </rPh>
    <rPh sb="44" eb="47">
      <t>ジブヒン</t>
    </rPh>
    <rPh sb="181" eb="183">
      <t>サンショウ</t>
    </rPh>
    <rPh sb="183" eb="185">
      <t>ジョウケン</t>
    </rPh>
    <rPh sb="186" eb="187">
      <t>ホウ</t>
    </rPh>
    <rPh sb="188" eb="190">
      <t>コウカイ</t>
    </rPh>
    <rPh sb="190" eb="192">
      <t>ジョウケン</t>
    </rPh>
    <rPh sb="194" eb="195">
      <t>セマ</t>
    </rPh>
    <rPh sb="221" eb="222">
      <t>オナ</t>
    </rPh>
    <rPh sb="229" eb="231">
      <t>セイゴウ</t>
    </rPh>
    <rPh sb="231" eb="233">
      <t>モンダイ</t>
    </rPh>
    <phoneticPr fontId="1"/>
  </si>
  <si>
    <t>公開：8msm
参照：(1)32msl
　　　 (2)16msl
常に最新の値を参照するため問題なし</t>
    <rPh sb="34" eb="35">
      <t>ツネ</t>
    </rPh>
    <rPh sb="36" eb="38">
      <t>サイシン</t>
    </rPh>
    <rPh sb="39" eb="40">
      <t>アタイ</t>
    </rPh>
    <rPh sb="41" eb="43">
      <t>サンショウ</t>
    </rPh>
    <rPh sb="47" eb="49">
      <t>モンダイ</t>
    </rPh>
    <phoneticPr fontId="1"/>
  </si>
  <si>
    <t>公開：8msm
参照：(1)32msl
　　　 (2)16msl
常に最新の値を参照するため問題なし</t>
    <phoneticPr fontId="1"/>
  </si>
  <si>
    <t>s2g_egoro_ekpfit</t>
    <phoneticPr fontId="24"/>
  </si>
  <si>
    <t xml:space="preserve">[参照元] 
 部品全体コンパイルSW：【ﾃﾞｭｱﾙINJ】AND【6気筒】AND【ﾂｲﾝｾﾝｻ】
 処理コンパイルSW：なし
[自部品]
 部品全体コンパイルSW：なし
 処理コンパイルSW：【ｺﾞﾛｺﾞﾛ音対策仕様適用】
公開元(データ型)：s2
参照先(データ型)：s2
[IF不整合起きない理由]
ejccでは、『(【V6】AND【過給器有】AND【ﾃﾞｭｱﾙINJ】AND【失火OBD有】)以外』時は、【ｺﾞﾛｺﾞﾛ音対策仕様非適用】となるためIF不整合は発生しない
※【V6】時は必ず【ﾂｲﾝｾﾝｻ】になる前提
</t>
    <rPh sb="1" eb="3">
      <t>サンショウ</t>
    </rPh>
    <rPh sb="3" eb="4">
      <t>モト</t>
    </rPh>
    <rPh sb="10" eb="12">
      <t>ゼンタイ</t>
    </rPh>
    <rPh sb="65" eb="68">
      <t>ジブヒン</t>
    </rPh>
    <rPh sb="144" eb="147">
      <t>フセイゴウ</t>
    </rPh>
    <rPh sb="147" eb="148">
      <t>オ</t>
    </rPh>
    <rPh sb="151" eb="153">
      <t>リユウ</t>
    </rPh>
    <rPh sb="205" eb="206">
      <t>ジ</t>
    </rPh>
    <rPh sb="220" eb="223">
      <t>ヒテキヨウ</t>
    </rPh>
    <rPh sb="231" eb="234">
      <t>フセイゴウ</t>
    </rPh>
    <rPh sb="235" eb="237">
      <t>ハッセイ</t>
    </rPh>
    <rPh sb="246" eb="247">
      <t>ジ</t>
    </rPh>
    <rPh sb="248" eb="249">
      <t>カナラ</t>
    </rPh>
    <rPh sb="261" eb="263">
      <t>ゼンテイ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</si>
</sst>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ＭＳ Ｐゴシック"/>
      <family val="2"/>
      <scheme val="minor"/>
    </font>
    <font>
      <sz val="6"/>
      <name val="ＭＳ Ｐゴシック"/>
      <family val="3"/>
      <charset val="128"/>
      <scheme val="minor"/>
    </font>
    <font>
      <sz val="12"/>
      <color theme="1"/>
      <name val="ＭＳ Ｐゴシック"/>
      <family val="2"/>
      <scheme val="minor"/>
    </font>
    <font>
      <sz val="11"/>
      <name val="ＭＳ Ｐゴシック"/>
      <family val="3"/>
      <charset val="128"/>
    </font>
    <font>
      <sz val="11"/>
      <color theme="1"/>
      <name val="ＭＳ ゴシック"/>
      <family val="3"/>
      <charset val="128"/>
    </font>
    <font>
      <sz val="22"/>
      <color theme="1"/>
      <name val="HGP創英角ﾎﾟｯﾌﾟ体"/>
      <family val="3"/>
      <charset val="128"/>
    </font>
    <font>
      <sz val="14"/>
      <color theme="1"/>
      <name val="HGP創英角ﾎﾟｯﾌﾟ体"/>
      <family val="3"/>
      <charset val="128"/>
    </font>
    <font>
      <sz val="11"/>
      <color theme="0" tint="-0.34998626667073579"/>
      <name val="ＭＳ Ｐゴシック"/>
      <family val="2"/>
      <scheme val="minor"/>
    </font>
    <font>
      <sz val="11"/>
      <color theme="1"/>
      <name val="ＭＳ Ｐゴシック"/>
      <family val="3"/>
      <charset val="128"/>
      <scheme val="minor"/>
    </font>
    <font>
      <sz val="11"/>
      <color theme="1"/>
      <name val="HGS創英角ﾎﾟｯﾌﾟ体"/>
      <family val="3"/>
      <charset val="128"/>
    </font>
    <font>
      <sz val="9"/>
      <color indexed="10"/>
      <name val="ＭＳ Ｐゴシック"/>
      <family val="3"/>
      <charset val="128"/>
    </font>
    <font>
      <sz val="12"/>
      <name val="ＭＳ Ｐゴシック"/>
      <family val="3"/>
      <charset val="128"/>
    </font>
    <font>
      <sz val="6"/>
      <name val="ＭＳ Ｐゴシック"/>
      <family val="3"/>
      <charset val="128"/>
    </font>
    <font>
      <sz val="11"/>
      <name val="HGS創英角ﾎﾟｯﾌﾟ体"/>
      <family val="3"/>
      <charset val="128"/>
    </font>
    <font>
      <sz val="11"/>
      <name val="ＭＳ Ｐゴシック"/>
      <family val="2"/>
      <scheme val="minor"/>
    </font>
    <font>
      <b/>
      <sz val="12"/>
      <color theme="1"/>
      <name val="ＭＳ Ｐゴシック"/>
      <family val="3"/>
      <charset val="128"/>
      <scheme val="minor"/>
    </font>
    <font>
      <sz val="11"/>
      <color rgb="FFFF0000"/>
      <name val="ＭＳ Ｐゴシック"/>
      <family val="3"/>
      <charset val="128"/>
      <scheme val="minor"/>
    </font>
    <font>
      <u/>
      <sz val="11"/>
      <color theme="10"/>
      <name val="ＭＳ Ｐゴシック"/>
      <family val="2"/>
      <scheme val="minor"/>
    </font>
    <font>
      <sz val="11"/>
      <color rgb="FF242424"/>
      <name val="Segoe UI"/>
      <family val="2"/>
    </font>
    <font>
      <sz val="11"/>
      <name val="ＭＳ Ｐゴシック"/>
      <family val="3"/>
      <charset val="128"/>
      <scheme val="minor"/>
    </font>
    <font>
      <sz val="9"/>
      <color indexed="10"/>
      <name val="MS P ゴシック"/>
      <family val="3"/>
      <charset val="128"/>
    </font>
    <font>
      <sz val="9"/>
      <name val="ＭＳ Ｐゴシック"/>
      <family val="3"/>
      <charset val="128"/>
      <scheme val="minor"/>
    </font>
    <font>
      <sz val="8"/>
      <color indexed="10"/>
      <name val="MS P ゴシック"/>
      <family val="3"/>
      <charset val="128"/>
    </font>
    <font>
      <sz val="10"/>
      <name val="ＭＳ 明朝"/>
      <family val="1"/>
      <charset val="128"/>
    </font>
    <font>
      <sz val="6"/>
      <name val="等幅明朝"/>
      <family val="3"/>
      <charset val="128"/>
    </font>
    <font>
      <sz val="11"/>
      <name val="ＭＳ 明朝"/>
      <family val="1"/>
      <charset val="128"/>
    </font>
    <font>
      <sz val="9"/>
      <name val="ＭＳ Ｐゴシック"/>
      <family val="3"/>
      <charset val="128"/>
    </font>
    <font>
      <sz val="12"/>
      <name val="等幅明朝"/>
      <family val="3"/>
      <charset val="128"/>
    </font>
    <font>
      <sz val="11"/>
      <color rgb="FFFF0000"/>
      <name val="ＭＳ Ｐゴシック"/>
      <family val="2"/>
      <scheme val="minor"/>
    </font>
    <font>
      <b/>
      <sz val="9"/>
      <color indexed="81"/>
      <name val="MS P ゴシック"/>
      <family val="3"/>
      <charset val="128"/>
    </font>
    <font>
      <sz val="10"/>
      <color indexed="81"/>
      <name val="MS P ゴシック"/>
      <family val="3"/>
      <charset val="128"/>
    </font>
    <font>
      <sz val="10"/>
      <name val="ＭＳ Ｐゴシック"/>
      <family val="3"/>
      <charset val="128"/>
      <scheme val="minor"/>
    </font>
    <font>
      <sz val="22"/>
      <name val="HGP創英角ﾎﾟｯﾌﾟ体"/>
      <family val="3"/>
      <charset val="128"/>
    </font>
    <font>
      <sz val="12"/>
      <name val="ＭＳ Ｐゴシック"/>
      <family val="2"/>
      <scheme val="minor"/>
    </font>
    <font>
      <sz val="11"/>
      <color theme="0" tint="-0.34998626667073579"/>
      <name val="ＭＳ Ｐゴシック"/>
      <family val="3"/>
      <charset val="128"/>
      <scheme val="minor"/>
    </font>
    <font>
      <u/>
      <sz val="11"/>
      <color theme="0" tint="-0.34998626667073579"/>
      <name val="ＭＳ Ｐゴシック"/>
      <family val="3"/>
      <charset val="128"/>
      <scheme val="minor"/>
    </font>
    <font>
      <sz val="11"/>
      <color theme="0" tint="-0.34998626667073579"/>
      <name val="ＭＳ Ｐゴシック"/>
      <family val="2"/>
      <charset val="128"/>
      <scheme val="minor"/>
    </font>
    <font>
      <sz val="11"/>
      <name val="ＭＳ Ｐゴシック"/>
      <family val="2"/>
      <charset val="128"/>
      <scheme val="minor"/>
    </font>
    <font>
      <sz val="9"/>
      <color indexed="81"/>
      <name val="MS P ゴシック"/>
      <family val="3"/>
      <charset val="128"/>
    </font>
    <font>
      <strike/>
      <sz val="11"/>
      <color rgb="FFFF0000"/>
      <name val="ＭＳ Ｐゴシック"/>
      <family val="2"/>
      <scheme val="minor"/>
    </font>
    <font>
      <sz val="10"/>
      <color theme="1"/>
      <name val="Meiryo UI"/>
      <family val="3"/>
      <charset val="128"/>
    </font>
    <font>
      <sz val="10"/>
      <color rgb="FFFF0000"/>
      <name val="ＭＳ 明朝"/>
      <family val="1"/>
      <charset val="128"/>
    </font>
  </fonts>
  <fills count="7">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59999389629810485"/>
        <bgColor indexed="64"/>
      </patternFill>
    </fill>
    <fill>
      <patternFill patternType="solid">
        <fgColor rgb="FF92D05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thin">
        <color indexed="64"/>
      </right>
      <top/>
      <bottom/>
      <diagonal/>
    </border>
    <border diagonalDown="1">
      <left style="thin">
        <color indexed="64"/>
      </left>
      <right style="thin">
        <color indexed="64"/>
      </right>
      <top style="thin">
        <color indexed="64"/>
      </top>
      <bottom style="thin">
        <color indexed="64"/>
      </bottom>
      <diagonal style="thin">
        <color indexed="64"/>
      </diagonal>
    </border>
    <border>
      <left style="thin">
        <color theme="1"/>
      </left>
      <right/>
      <top style="thin">
        <color indexed="64"/>
      </top>
      <bottom style="thin">
        <color indexed="64"/>
      </bottom>
      <diagonal/>
    </border>
  </borders>
  <cellStyleXfs count="11">
    <xf numFmtId="0" fontId="0" fillId="0" borderId="0"/>
    <xf numFmtId="0" fontId="3" fillId="0" borderId="0"/>
    <xf numFmtId="0" fontId="4" fillId="0" borderId="0">
      <alignment vertical="center"/>
    </xf>
    <xf numFmtId="0" fontId="11" fillId="0" borderId="0"/>
    <xf numFmtId="0" fontId="17" fillId="0" borderId="0" applyNumberFormat="0" applyFill="0" applyBorder="0" applyAlignment="0" applyProtection="0"/>
    <xf numFmtId="0" fontId="3" fillId="0" borderId="0"/>
    <xf numFmtId="0" fontId="8" fillId="0" borderId="0"/>
    <xf numFmtId="0" fontId="8" fillId="0" borderId="0">
      <alignment vertical="center"/>
    </xf>
    <xf numFmtId="0" fontId="11" fillId="0" borderId="0"/>
    <xf numFmtId="0" fontId="27" fillId="0" borderId="0"/>
    <xf numFmtId="0" fontId="8" fillId="0" borderId="0"/>
  </cellStyleXfs>
  <cellXfs count="264">
    <xf numFmtId="0" fontId="0" fillId="0" borderId="0" xfId="0"/>
    <xf numFmtId="0" fontId="0" fillId="0" borderId="1" xfId="0" applyBorder="1"/>
    <xf numFmtId="0" fontId="0" fillId="0" borderId="1" xfId="0" applyBorder="1" applyAlignment="1">
      <alignment wrapText="1"/>
    </xf>
    <xf numFmtId="0" fontId="5" fillId="0" borderId="0" xfId="0" applyFont="1"/>
    <xf numFmtId="0" fontId="0" fillId="0" borderId="5" xfId="0" applyBorder="1"/>
    <xf numFmtId="0" fontId="0" fillId="0" borderId="5" xfId="0" applyBorder="1" applyAlignment="1">
      <alignment horizontal="right"/>
    </xf>
    <xf numFmtId="0" fontId="6" fillId="0" borderId="0" xfId="0" applyFont="1"/>
    <xf numFmtId="0" fontId="0" fillId="2" borderId="5" xfId="0" applyFill="1" applyBorder="1"/>
    <xf numFmtId="0" fontId="9" fillId="0" borderId="2" xfId="0" applyFont="1" applyBorder="1" applyAlignment="1">
      <alignment horizontal="right"/>
    </xf>
    <xf numFmtId="0" fontId="11" fillId="0" borderId="1" xfId="3" applyBorder="1" applyAlignment="1">
      <alignment horizontal="center"/>
    </xf>
    <xf numFmtId="0" fontId="11" fillId="0" borderId="0" xfId="3"/>
    <xf numFmtId="0" fontId="11" fillId="0" borderId="1" xfId="3" applyBorder="1" applyAlignment="1">
      <alignment wrapText="1"/>
    </xf>
    <xf numFmtId="0" fontId="11" fillId="0" borderId="1" xfId="3" applyBorder="1"/>
    <xf numFmtId="56" fontId="11" fillId="0" borderId="1" xfId="3" applyNumberFormat="1" applyBorder="1" applyAlignment="1">
      <alignment wrapText="1"/>
    </xf>
    <xf numFmtId="0" fontId="13" fillId="0" borderId="2" xfId="0" applyFont="1" applyBorder="1" applyAlignment="1">
      <alignment horizontal="right"/>
    </xf>
    <xf numFmtId="0" fontId="0" fillId="0" borderId="5" xfId="0" applyBorder="1" applyAlignment="1">
      <alignment horizontal="center" vertical="center" wrapText="1"/>
    </xf>
    <xf numFmtId="0" fontId="2" fillId="0" borderId="0" xfId="0" applyFont="1" applyAlignment="1">
      <alignment horizontal="center" vertical="top"/>
    </xf>
    <xf numFmtId="0" fontId="0" fillId="0" borderId="1" xfId="0" applyBorder="1" applyAlignment="1">
      <alignment horizontal="center" vertical="top"/>
    </xf>
    <xf numFmtId="0" fontId="0" fillId="0" borderId="5" xfId="0" applyBorder="1" applyAlignment="1">
      <alignment horizontal="center" vertical="top"/>
    </xf>
    <xf numFmtId="49" fontId="9" fillId="0" borderId="2" xfId="0" applyNumberFormat="1" applyFont="1" applyBorder="1" applyAlignment="1">
      <alignment horizontal="right" vertical="top"/>
    </xf>
    <xf numFmtId="49" fontId="9" fillId="0" borderId="1" xfId="0" applyNumberFormat="1" applyFont="1" applyBorder="1" applyAlignment="1">
      <alignment horizontal="right" vertical="top"/>
    </xf>
    <xf numFmtId="49" fontId="13" fillId="0" borderId="2" xfId="0" applyNumberFormat="1" applyFont="1" applyBorder="1" applyAlignment="1">
      <alignment horizontal="right" vertical="top"/>
    </xf>
    <xf numFmtId="49" fontId="13" fillId="0" borderId="1" xfId="0" quotePrefix="1" applyNumberFormat="1" applyFont="1" applyBorder="1" applyAlignment="1">
      <alignment horizontal="right" vertical="top"/>
    </xf>
    <xf numFmtId="49" fontId="9" fillId="0" borderId="1" xfId="0" quotePrefix="1" applyNumberFormat="1" applyFont="1" applyBorder="1" applyAlignment="1">
      <alignment horizontal="right" vertical="top"/>
    </xf>
    <xf numFmtId="0" fontId="0" fillId="0" borderId="0" xfId="0" applyAlignment="1">
      <alignment horizontal="center" vertical="top"/>
    </xf>
    <xf numFmtId="0" fontId="2" fillId="0" borderId="1" xfId="0" applyFont="1" applyBorder="1" applyAlignment="1">
      <alignment horizontal="center" vertical="top"/>
    </xf>
    <xf numFmtId="49" fontId="0" fillId="0" borderId="0" xfId="0" applyNumberFormat="1" applyAlignment="1">
      <alignment horizontal="center" vertical="top"/>
    </xf>
    <xf numFmtId="0" fontId="0" fillId="0" borderId="1" xfId="0" applyBorder="1" applyAlignment="1">
      <alignment horizontal="left" vertical="top" wrapText="1"/>
    </xf>
    <xf numFmtId="0" fontId="0" fillId="0" borderId="4" xfId="0" applyBorder="1" applyAlignment="1">
      <alignment horizontal="left" vertical="top" wrapText="1"/>
    </xf>
    <xf numFmtId="0" fontId="14" fillId="0" borderId="1" xfId="0" applyFont="1" applyBorder="1" applyAlignment="1">
      <alignment horizontal="left" vertical="top" wrapText="1"/>
    </xf>
    <xf numFmtId="0" fontId="0" fillId="0" borderId="0" xfId="0" applyAlignment="1">
      <alignment horizontal="left" vertical="center"/>
    </xf>
    <xf numFmtId="0" fontId="5" fillId="0" borderId="0" xfId="0" applyFont="1" applyAlignment="1">
      <alignment horizontal="left" vertical="top"/>
    </xf>
    <xf numFmtId="0" fontId="0" fillId="0" borderId="1" xfId="0" applyBorder="1" applyAlignment="1">
      <alignment horizontal="center" vertical="center"/>
    </xf>
    <xf numFmtId="0" fontId="15" fillId="0" borderId="8" xfId="0" applyFont="1" applyBorder="1" applyAlignment="1">
      <alignment vertical="center"/>
    </xf>
    <xf numFmtId="0" fontId="0" fillId="0" borderId="9" xfId="0" applyBorder="1"/>
    <xf numFmtId="0" fontId="0" fillId="0" borderId="4"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7" xfId="0" applyBorder="1"/>
    <xf numFmtId="0" fontId="0" fillId="0" borderId="15" xfId="0" applyBorder="1"/>
    <xf numFmtId="0" fontId="0" fillId="0" borderId="16" xfId="0" applyBorder="1"/>
    <xf numFmtId="0" fontId="15" fillId="0" borderId="0" xfId="0" applyFont="1" applyAlignment="1">
      <alignment vertical="center"/>
    </xf>
    <xf numFmtId="0" fontId="0" fillId="0" borderId="2" xfId="0" applyBorder="1" applyAlignment="1">
      <alignment vertical="top" wrapText="1"/>
    </xf>
    <xf numFmtId="0" fontId="0" fillId="0" borderId="2" xfId="0" applyBorder="1" applyAlignment="1">
      <alignment vertical="top"/>
    </xf>
    <xf numFmtId="0" fontId="0" fillId="2" borderId="2" xfId="0" applyFill="1" applyBorder="1" applyAlignment="1">
      <alignment vertical="top" wrapText="1"/>
    </xf>
    <xf numFmtId="0" fontId="0" fillId="0" borderId="1" xfId="0" applyBorder="1" applyAlignment="1">
      <alignment vertical="top"/>
    </xf>
    <xf numFmtId="0" fontId="0" fillId="2" borderId="1" xfId="0" applyFill="1" applyBorder="1" applyAlignment="1">
      <alignment vertical="top" wrapText="1"/>
    </xf>
    <xf numFmtId="0" fontId="0" fillId="2" borderId="1" xfId="0" applyFill="1" applyBorder="1" applyAlignment="1">
      <alignment vertical="top"/>
    </xf>
    <xf numFmtId="0" fontId="0" fillId="0" borderId="1" xfId="0" applyBorder="1" applyAlignment="1">
      <alignment vertical="top" wrapText="1"/>
    </xf>
    <xf numFmtId="0" fontId="14" fillId="0" borderId="2" xfId="0" applyFont="1" applyBorder="1" applyAlignment="1">
      <alignment vertical="top" wrapText="1"/>
    </xf>
    <xf numFmtId="0" fontId="14" fillId="0" borderId="1" xfId="0" applyFont="1" applyBorder="1" applyAlignment="1">
      <alignment vertical="top" wrapText="1"/>
    </xf>
    <xf numFmtId="0" fontId="15" fillId="0" borderId="10" xfId="0" applyFont="1" applyBorder="1" applyAlignment="1">
      <alignment vertical="center"/>
    </xf>
    <xf numFmtId="0" fontId="15" fillId="0" borderId="13" xfId="0" applyFont="1" applyBorder="1" applyAlignment="1">
      <alignment vertical="center"/>
    </xf>
    <xf numFmtId="0" fontId="15" fillId="0" borderId="7" xfId="0" applyFont="1" applyBorder="1" applyAlignment="1">
      <alignment vertical="center"/>
    </xf>
    <xf numFmtId="14" fontId="11" fillId="0" borderId="8" xfId="3" applyNumberFormat="1" applyBorder="1" applyAlignment="1">
      <alignment horizontal="center"/>
    </xf>
    <xf numFmtId="0" fontId="17" fillId="0" borderId="14" xfId="4" applyFill="1" applyBorder="1"/>
    <xf numFmtId="0" fontId="19" fillId="0" borderId="14" xfId="0" applyFont="1" applyBorder="1"/>
    <xf numFmtId="0" fontId="18" fillId="0" borderId="0" xfId="0" applyFont="1"/>
    <xf numFmtId="49" fontId="13" fillId="0" borderId="6" xfId="0" applyNumberFormat="1" applyFont="1" applyBorder="1" applyAlignment="1">
      <alignment horizontal="right" vertical="top"/>
    </xf>
    <xf numFmtId="0" fontId="14" fillId="0" borderId="6" xfId="0" applyFont="1" applyBorder="1" applyAlignment="1">
      <alignment horizontal="left" vertical="center" wrapText="1"/>
    </xf>
    <xf numFmtId="0" fontId="0" fillId="2" borderId="2" xfId="0" applyFill="1" applyBorder="1" applyAlignment="1">
      <alignment vertical="top"/>
    </xf>
    <xf numFmtId="49" fontId="9" fillId="0" borderId="2" xfId="0" applyNumberFormat="1" applyFont="1" applyBorder="1" applyAlignment="1">
      <alignment horizontal="right"/>
    </xf>
    <xf numFmtId="0" fontId="19" fillId="0" borderId="1" xfId="0" applyFont="1" applyBorder="1" applyAlignment="1">
      <alignment vertical="top" wrapText="1"/>
    </xf>
    <xf numFmtId="0" fontId="19" fillId="2" borderId="6" xfId="0" applyFont="1" applyFill="1" applyBorder="1" applyAlignment="1">
      <alignment vertical="top" wrapText="1"/>
    </xf>
    <xf numFmtId="0" fontId="14" fillId="2" borderId="1" xfId="0" applyFont="1" applyFill="1" applyBorder="1" applyAlignment="1">
      <alignment vertical="top" wrapText="1"/>
    </xf>
    <xf numFmtId="0" fontId="11" fillId="0" borderId="1" xfId="3" applyBorder="1" applyAlignment="1">
      <alignment horizontal="center" wrapText="1"/>
    </xf>
    <xf numFmtId="0" fontId="0" fillId="0" borderId="0" xfId="0" applyAlignment="1">
      <alignment horizontal="left" vertical="top"/>
    </xf>
    <xf numFmtId="49" fontId="23" fillId="0" borderId="10" xfId="5" applyNumberFormat="1" applyFont="1" applyBorder="1" applyAlignment="1">
      <alignment vertical="center"/>
    </xf>
    <xf numFmtId="0" fontId="28" fillId="0" borderId="0" xfId="0" applyFont="1" applyAlignment="1">
      <alignment horizontal="left" vertical="top"/>
    </xf>
    <xf numFmtId="0" fontId="7" fillId="3" borderId="8" xfId="0" applyFont="1" applyFill="1" applyBorder="1" applyAlignment="1">
      <alignment horizontal="left" vertical="top"/>
    </xf>
    <xf numFmtId="0" fontId="7" fillId="3" borderId="9" xfId="0" applyFont="1" applyFill="1" applyBorder="1" applyAlignment="1">
      <alignment horizontal="left" vertical="top"/>
    </xf>
    <xf numFmtId="0" fontId="7" fillId="3" borderId="4" xfId="0" applyFont="1" applyFill="1" applyBorder="1" applyAlignment="1">
      <alignment horizontal="left" vertical="top"/>
    </xf>
    <xf numFmtId="0" fontId="7" fillId="3" borderId="10" xfId="0" applyFont="1" applyFill="1" applyBorder="1" applyAlignment="1">
      <alignment horizontal="left" vertical="top"/>
    </xf>
    <xf numFmtId="0" fontId="7" fillId="3" borderId="11" xfId="0" applyFont="1" applyFill="1" applyBorder="1" applyAlignment="1">
      <alignment horizontal="left" vertical="top"/>
    </xf>
    <xf numFmtId="0" fontId="7" fillId="3" borderId="12" xfId="0" applyFont="1" applyFill="1" applyBorder="1" applyAlignment="1">
      <alignment horizontal="left" vertical="top"/>
    </xf>
    <xf numFmtId="0" fontId="14" fillId="0" borderId="0" xfId="0" applyFont="1" applyAlignment="1">
      <alignment horizontal="left" vertical="center"/>
    </xf>
    <xf numFmtId="0" fontId="32" fillId="0" borderId="0" xfId="0" applyFont="1" applyAlignment="1">
      <alignment horizontal="left" vertical="top"/>
    </xf>
    <xf numFmtId="0" fontId="14" fillId="0" borderId="0" xfId="0" applyFont="1" applyAlignment="1">
      <alignment horizontal="center" vertical="top"/>
    </xf>
    <xf numFmtId="0" fontId="33" fillId="0" borderId="0" xfId="0" applyFont="1" applyAlignment="1">
      <alignment horizontal="center" vertical="top"/>
    </xf>
    <xf numFmtId="0" fontId="14" fillId="0" borderId="1" xfId="0" applyFont="1" applyBorder="1" applyAlignment="1">
      <alignment horizontal="center" vertical="center"/>
    </xf>
    <xf numFmtId="0" fontId="14" fillId="0" borderId="10" xfId="0" applyFont="1" applyBorder="1" applyAlignment="1">
      <alignment horizontal="center" vertical="center"/>
    </xf>
    <xf numFmtId="0" fontId="14" fillId="0" borderId="5" xfId="0" applyFont="1" applyBorder="1" applyAlignment="1">
      <alignment horizontal="center" vertical="top"/>
    </xf>
    <xf numFmtId="0" fontId="14" fillId="0" borderId="5"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23" xfId="0" applyFont="1" applyBorder="1" applyAlignment="1">
      <alignment horizontal="left" vertical="center" wrapText="1"/>
    </xf>
    <xf numFmtId="0" fontId="19" fillId="0" borderId="7" xfId="0" applyFont="1" applyBorder="1" applyAlignment="1">
      <alignment horizontal="left" vertical="top" wrapText="1"/>
    </xf>
    <xf numFmtId="49" fontId="13" fillId="0" borderId="1" xfId="0" applyNumberFormat="1" applyFont="1" applyBorder="1" applyAlignment="1">
      <alignment horizontal="right" vertical="top"/>
    </xf>
    <xf numFmtId="0" fontId="19" fillId="0" borderId="8" xfId="0" applyFont="1" applyBorder="1" applyAlignment="1">
      <alignment horizontal="left" vertical="top" wrapText="1"/>
    </xf>
    <xf numFmtId="0" fontId="19" fillId="0" borderId="0" xfId="0" applyFont="1" applyAlignment="1">
      <alignment horizontal="left" vertical="top"/>
    </xf>
    <xf numFmtId="0" fontId="14" fillId="0" borderId="4" xfId="0" applyFont="1" applyBorder="1" applyAlignment="1">
      <alignment horizontal="left" vertical="top" wrapText="1"/>
    </xf>
    <xf numFmtId="0" fontId="19" fillId="0" borderId="1" xfId="0" applyFont="1" applyBorder="1" applyAlignment="1">
      <alignment horizontal="left" vertical="top" wrapText="1"/>
    </xf>
    <xf numFmtId="49" fontId="14" fillId="0" borderId="0" xfId="0" applyNumberFormat="1" applyFont="1" applyAlignment="1">
      <alignment horizontal="center" vertical="top"/>
    </xf>
    <xf numFmtId="49" fontId="9" fillId="0" borderId="34" xfId="0" applyNumberFormat="1" applyFont="1" applyBorder="1" applyAlignment="1">
      <alignment horizontal="right" vertical="top"/>
    </xf>
    <xf numFmtId="0" fontId="19" fillId="0" borderId="10" xfId="0" applyFont="1" applyBorder="1" applyAlignment="1">
      <alignment horizontal="center" vertical="center"/>
    </xf>
    <xf numFmtId="0" fontId="28" fillId="0" borderId="1" xfId="0" applyFont="1" applyBorder="1" applyAlignment="1">
      <alignment vertical="top" wrapText="1"/>
    </xf>
    <xf numFmtId="0" fontId="8" fillId="2" borderId="1" xfId="0" applyFont="1" applyFill="1" applyBorder="1" applyAlignment="1">
      <alignment vertical="top" wrapText="1"/>
    </xf>
    <xf numFmtId="14" fontId="11" fillId="0" borderId="1" xfId="3" applyNumberFormat="1" applyBorder="1"/>
    <xf numFmtId="0" fontId="14" fillId="0" borderId="2" xfId="0" applyFont="1" applyBorder="1" applyAlignment="1">
      <alignment horizontal="left" vertical="top" wrapText="1"/>
    </xf>
    <xf numFmtId="0" fontId="13" fillId="0" borderId="1" xfId="0" applyFont="1" applyBorder="1" applyAlignment="1">
      <alignment horizontal="left" vertical="top" wrapText="1"/>
    </xf>
    <xf numFmtId="0" fontId="19" fillId="4" borderId="2" xfId="0" applyFont="1" applyFill="1" applyBorder="1" applyAlignment="1">
      <alignment horizontal="left" vertical="top" wrapText="1"/>
    </xf>
    <xf numFmtId="49" fontId="13" fillId="0" borderId="34" xfId="0" applyNumberFormat="1" applyFont="1" applyBorder="1" applyAlignment="1">
      <alignment horizontal="right" vertical="top"/>
    </xf>
    <xf numFmtId="0" fontId="14" fillId="0" borderId="3" xfId="0" applyFont="1" applyBorder="1" applyAlignment="1">
      <alignment horizontal="left" vertical="top" wrapText="1"/>
    </xf>
    <xf numFmtId="0" fontId="33" fillId="0" borderId="1" xfId="0" applyFont="1" applyBorder="1" applyAlignment="1">
      <alignment horizontal="center" vertical="center"/>
    </xf>
    <xf numFmtId="0" fontId="40" fillId="0" borderId="0" xfId="0" applyFont="1"/>
    <xf numFmtId="0" fontId="40" fillId="0" borderId="35" xfId="0" applyFont="1" applyBorder="1"/>
    <xf numFmtId="0" fontId="40" fillId="6" borderId="1" xfId="0" applyFont="1" applyFill="1" applyBorder="1" applyAlignment="1">
      <alignment horizontal="center" vertical="center" wrapText="1"/>
    </xf>
    <xf numFmtId="0" fontId="40" fillId="6" borderId="1" xfId="0" applyFont="1" applyFill="1" applyBorder="1" applyAlignment="1">
      <alignment horizontal="center" vertical="center"/>
    </xf>
    <xf numFmtId="0" fontId="40" fillId="5" borderId="1" xfId="0" applyFont="1" applyFill="1" applyBorder="1"/>
    <xf numFmtId="0" fontId="40" fillId="0" borderId="1" xfId="0" applyFont="1" applyBorder="1" applyAlignment="1">
      <alignment horizontal="center" vertical="center"/>
    </xf>
    <xf numFmtId="0" fontId="40" fillId="3" borderId="1" xfId="0" applyFont="1" applyFill="1" applyBorder="1" applyAlignment="1">
      <alignment horizontal="center" vertical="center"/>
    </xf>
    <xf numFmtId="49" fontId="23" fillId="0" borderId="11" xfId="5" applyNumberFormat="1" applyFont="1" applyBorder="1" applyAlignment="1">
      <alignment vertical="center"/>
    </xf>
    <xf numFmtId="49" fontId="23" fillId="0" borderId="9" xfId="5" applyNumberFormat="1" applyFont="1" applyBorder="1" applyAlignment="1">
      <alignment vertical="center"/>
    </xf>
    <xf numFmtId="49" fontId="23" fillId="0" borderId="26" xfId="5" applyNumberFormat="1" applyFont="1" applyBorder="1" applyAlignment="1">
      <alignment vertical="center"/>
    </xf>
    <xf numFmtId="49" fontId="41" fillId="0" borderId="36" xfId="5" quotePrefix="1" applyNumberFormat="1" applyFont="1" applyBorder="1" applyAlignment="1">
      <alignment vertical="center"/>
    </xf>
    <xf numFmtId="0" fontId="14" fillId="0" borderId="0" xfId="0" applyFont="1" applyAlignment="1">
      <alignment horizontal="left"/>
    </xf>
    <xf numFmtId="49" fontId="23" fillId="0" borderId="10" xfId="5" quotePrefix="1" applyNumberFormat="1" applyFont="1" applyBorder="1" applyAlignment="1">
      <alignment vertical="center" wrapText="1"/>
    </xf>
    <xf numFmtId="49" fontId="23" fillId="0" borderId="8" xfId="5" quotePrefix="1" applyNumberFormat="1" applyFont="1" applyBorder="1" applyAlignment="1">
      <alignment vertical="center"/>
    </xf>
    <xf numFmtId="0" fontId="39" fillId="0" borderId="0" xfId="0" applyFont="1" applyFill="1" applyAlignment="1">
      <alignment horizontal="left" vertical="top"/>
    </xf>
    <xf numFmtId="0" fontId="14" fillId="0" borderId="0" xfId="0" applyFont="1" applyFill="1" applyAlignment="1">
      <alignment horizontal="center" vertical="top"/>
    </xf>
    <xf numFmtId="49" fontId="23" fillId="0" borderId="10" xfId="5" quotePrefix="1" applyNumberFormat="1" applyFont="1" applyBorder="1" applyAlignment="1">
      <alignment vertical="center"/>
    </xf>
    <xf numFmtId="0" fontId="14" fillId="0" borderId="8" xfId="0" applyFont="1" applyBorder="1" applyAlignment="1">
      <alignment horizontal="left" vertical="top"/>
    </xf>
    <xf numFmtId="0" fontId="14" fillId="0" borderId="9" xfId="0" applyFont="1" applyBorder="1" applyAlignment="1">
      <alignment horizontal="left" vertical="top"/>
    </xf>
    <xf numFmtId="0" fontId="14" fillId="0" borderId="4" xfId="0" applyFont="1" applyBorder="1" applyAlignment="1">
      <alignment horizontal="left" vertical="top"/>
    </xf>
    <xf numFmtId="0" fontId="19" fillId="0" borderId="8" xfId="0" applyFont="1" applyBorder="1" applyAlignment="1">
      <alignment horizontal="left" vertical="top" wrapText="1"/>
    </xf>
    <xf numFmtId="0" fontId="19" fillId="0" borderId="9" xfId="0" applyFont="1" applyBorder="1" applyAlignment="1">
      <alignment horizontal="left" vertical="top" wrapText="1"/>
    </xf>
    <xf numFmtId="0" fontId="19" fillId="0" borderId="9" xfId="0" applyFont="1" applyBorder="1" applyAlignment="1">
      <alignment horizontal="left" vertical="top"/>
    </xf>
    <xf numFmtId="0" fontId="19" fillId="0" borderId="4" xfId="0" applyFont="1" applyBorder="1" applyAlignment="1">
      <alignment horizontal="left" vertical="top"/>
    </xf>
    <xf numFmtId="49" fontId="13" fillId="0" borderId="3" xfId="0" applyNumberFormat="1" applyFont="1" applyBorder="1" applyAlignment="1">
      <alignment horizontal="right" vertical="top"/>
    </xf>
    <xf numFmtId="49" fontId="13" fillId="0" borderId="2" xfId="0" applyNumberFormat="1" applyFont="1" applyBorder="1" applyAlignment="1">
      <alignment horizontal="right" vertical="top"/>
    </xf>
    <xf numFmtId="0" fontId="19" fillId="0" borderId="3" xfId="0" applyFont="1" applyBorder="1" applyAlignment="1">
      <alignment horizontal="left" vertical="top" wrapText="1"/>
    </xf>
    <xf numFmtId="0" fontId="14" fillId="0" borderId="2" xfId="0" applyFont="1" applyBorder="1" applyAlignment="1">
      <alignment horizontal="left" vertical="top" wrapText="1"/>
    </xf>
    <xf numFmtId="0" fontId="19" fillId="0" borderId="4" xfId="0" applyFont="1" applyBorder="1" applyAlignment="1">
      <alignment horizontal="left" vertical="top" wrapText="1"/>
    </xf>
    <xf numFmtId="0" fontId="19" fillId="0" borderId="34" xfId="0" applyFont="1" applyBorder="1" applyAlignment="1">
      <alignment horizontal="left" vertical="top" wrapText="1"/>
    </xf>
    <xf numFmtId="0" fontId="19" fillId="0" borderId="2" xfId="0" applyFont="1" applyBorder="1" applyAlignment="1">
      <alignment horizontal="left" vertical="top" wrapText="1"/>
    </xf>
    <xf numFmtId="0" fontId="19" fillId="0" borderId="8" xfId="0" applyFont="1" applyBorder="1" applyAlignment="1">
      <alignment horizontal="left" vertical="top"/>
    </xf>
    <xf numFmtId="0" fontId="14" fillId="0" borderId="17" xfId="0" applyFont="1" applyBorder="1" applyAlignment="1">
      <alignment horizontal="left" vertical="top"/>
    </xf>
    <xf numFmtId="0" fontId="14" fillId="0" borderId="18" xfId="0" applyFont="1" applyBorder="1" applyAlignment="1">
      <alignment horizontal="left" vertical="top"/>
    </xf>
    <xf numFmtId="0" fontId="14" fillId="0" borderId="19" xfId="0" applyFont="1" applyBorder="1" applyAlignment="1">
      <alignment horizontal="left" vertical="top"/>
    </xf>
    <xf numFmtId="49" fontId="25" fillId="0" borderId="11" xfId="5" applyNumberFormat="1" applyFont="1" applyBorder="1" applyAlignment="1">
      <alignment horizontal="left" vertical="center" wrapText="1" shrinkToFit="1"/>
    </xf>
    <xf numFmtId="49" fontId="25" fillId="0" borderId="11" xfId="5" applyNumberFormat="1" applyFont="1" applyBorder="1" applyAlignment="1">
      <alignment horizontal="left" vertical="center" shrinkToFit="1"/>
    </xf>
    <xf numFmtId="49" fontId="25" fillId="0" borderId="21" xfId="5" applyNumberFormat="1" applyFont="1" applyBorder="1" applyAlignment="1">
      <alignment horizontal="left" vertical="center" shrinkToFit="1"/>
    </xf>
    <xf numFmtId="49" fontId="25" fillId="0" borderId="22" xfId="5" applyNumberFormat="1" applyFont="1" applyBorder="1" applyAlignment="1">
      <alignment horizontal="left" vertical="center" shrinkToFit="1"/>
    </xf>
    <xf numFmtId="49" fontId="25" fillId="0" borderId="20" xfId="5" applyNumberFormat="1" applyFont="1" applyBorder="1" applyAlignment="1">
      <alignment horizontal="left" vertical="center" shrinkToFit="1"/>
    </xf>
    <xf numFmtId="0" fontId="14" fillId="0" borderId="7" xfId="0" applyFont="1" applyBorder="1" applyAlignment="1">
      <alignment horizontal="left" vertical="top"/>
    </xf>
    <xf numFmtId="0" fontId="14" fillId="0" borderId="15" xfId="0" applyFont="1" applyBorder="1" applyAlignment="1">
      <alignment horizontal="left" vertical="top"/>
    </xf>
    <xf numFmtId="0" fontId="14" fillId="0" borderId="16" xfId="0" applyFont="1" applyBorder="1" applyAlignment="1">
      <alignment horizontal="left" vertical="top"/>
    </xf>
    <xf numFmtId="0" fontId="19" fillId="4" borderId="23" xfId="0" applyFont="1" applyFill="1" applyBorder="1" applyAlignment="1">
      <alignment horizontal="left" vertical="top" wrapText="1"/>
    </xf>
    <xf numFmtId="0" fontId="19" fillId="4" borderId="24" xfId="0" applyFont="1" applyFill="1" applyBorder="1" applyAlignment="1">
      <alignment horizontal="left" vertical="top" wrapText="1"/>
    </xf>
    <xf numFmtId="0" fontId="19" fillId="4" borderId="24" xfId="0" applyFont="1" applyFill="1" applyBorder="1" applyAlignment="1">
      <alignment horizontal="left" vertical="top"/>
    </xf>
    <xf numFmtId="0" fontId="19" fillId="4" borderId="25" xfId="0" applyFont="1" applyFill="1" applyBorder="1" applyAlignment="1">
      <alignment horizontal="left" vertical="top"/>
    </xf>
    <xf numFmtId="0" fontId="14" fillId="0" borderId="23" xfId="0" applyFont="1" applyBorder="1" applyAlignment="1">
      <alignment horizontal="left" vertical="top"/>
    </xf>
    <xf numFmtId="0" fontId="14" fillId="0" borderId="24" xfId="0" applyFont="1" applyBorder="1" applyAlignment="1">
      <alignment horizontal="left" vertical="top"/>
    </xf>
    <xf numFmtId="0" fontId="14" fillId="0" borderId="25" xfId="0" applyFont="1" applyBorder="1" applyAlignment="1">
      <alignment horizontal="left" vertical="top"/>
    </xf>
    <xf numFmtId="49" fontId="25" fillId="0" borderId="12" xfId="5" applyNumberFormat="1" applyFont="1" applyBorder="1" applyAlignment="1">
      <alignment horizontal="left" vertical="center" shrinkToFit="1"/>
    </xf>
    <xf numFmtId="0" fontId="7" fillId="0" borderId="8" xfId="0" applyFont="1" applyBorder="1" applyAlignment="1">
      <alignment horizontal="left" vertical="top" wrapText="1"/>
    </xf>
    <xf numFmtId="0" fontId="7" fillId="0" borderId="9" xfId="0" applyFont="1" applyBorder="1" applyAlignment="1">
      <alignment horizontal="left" vertical="top"/>
    </xf>
    <xf numFmtId="0" fontId="7" fillId="0" borderId="4" xfId="0" applyFont="1" applyBorder="1" applyAlignment="1">
      <alignment horizontal="left" vertical="top"/>
    </xf>
    <xf numFmtId="0" fontId="7" fillId="0" borderId="8" xfId="0" applyFont="1" applyBorder="1" applyAlignment="1">
      <alignment horizontal="left" vertical="top"/>
    </xf>
    <xf numFmtId="0" fontId="19" fillId="0" borderId="8" xfId="10" applyFont="1" applyBorder="1" applyAlignment="1">
      <alignment horizontal="left" vertical="top"/>
    </xf>
    <xf numFmtId="0" fontId="19" fillId="0" borderId="9" xfId="10" applyFont="1" applyBorder="1" applyAlignment="1">
      <alignment horizontal="left" vertical="top"/>
    </xf>
    <xf numFmtId="0" fontId="19" fillId="0" borderId="4" xfId="10" applyFont="1" applyBorder="1" applyAlignment="1">
      <alignment horizontal="left" vertical="top"/>
    </xf>
    <xf numFmtId="0" fontId="19" fillId="0" borderId="8" xfId="10" applyFont="1" applyBorder="1" applyAlignment="1">
      <alignment horizontal="left" vertical="top" wrapText="1"/>
    </xf>
    <xf numFmtId="0" fontId="19" fillId="0" borderId="9" xfId="10" applyFont="1" applyBorder="1" applyAlignment="1">
      <alignment horizontal="left" vertical="top" wrapText="1"/>
    </xf>
    <xf numFmtId="0" fontId="19" fillId="0" borderId="4" xfId="10" applyFont="1" applyBorder="1" applyAlignment="1">
      <alignment horizontal="left" vertical="top" wrapText="1"/>
    </xf>
    <xf numFmtId="0" fontId="19" fillId="0" borderId="8" xfId="6" applyFont="1" applyBorder="1" applyAlignment="1">
      <alignment horizontal="left" vertical="top"/>
    </xf>
    <xf numFmtId="0" fontId="19" fillId="0" borderId="9" xfId="6" applyFont="1" applyBorder="1" applyAlignment="1">
      <alignment horizontal="left" vertical="top"/>
    </xf>
    <xf numFmtId="0" fontId="19" fillId="0" borderId="4" xfId="6" applyFont="1" applyBorder="1" applyAlignment="1">
      <alignment horizontal="left" vertical="top"/>
    </xf>
    <xf numFmtId="0" fontId="19" fillId="0" borderId="8" xfId="6" applyFont="1" applyBorder="1" applyAlignment="1">
      <alignment horizontal="left" vertical="top" wrapText="1"/>
    </xf>
    <xf numFmtId="0" fontId="19" fillId="0" borderId="9" xfId="6" applyFont="1" applyBorder="1" applyAlignment="1">
      <alignment horizontal="left" vertical="top" wrapText="1"/>
    </xf>
    <xf numFmtId="0" fontId="19" fillId="0" borderId="4" xfId="6" applyFont="1" applyBorder="1" applyAlignment="1">
      <alignment horizontal="left" vertical="top" wrapText="1"/>
    </xf>
    <xf numFmtId="0" fontId="31" fillId="0" borderId="8" xfId="6" applyFont="1" applyBorder="1" applyAlignment="1">
      <alignment horizontal="left" vertical="top"/>
    </xf>
    <xf numFmtId="0" fontId="31" fillId="0" borderId="9" xfId="6" applyFont="1" applyBorder="1" applyAlignment="1">
      <alignment horizontal="left" vertical="top"/>
    </xf>
    <xf numFmtId="0" fontId="31" fillId="0" borderId="4" xfId="6" applyFont="1" applyBorder="1" applyAlignment="1">
      <alignment horizontal="left" vertical="top"/>
    </xf>
    <xf numFmtId="0" fontId="7" fillId="0" borderId="9" xfId="0" applyFont="1" applyBorder="1" applyAlignment="1">
      <alignment horizontal="left" vertical="top" wrapText="1"/>
    </xf>
    <xf numFmtId="0" fontId="7" fillId="0" borderId="4" xfId="0" applyFont="1" applyBorder="1" applyAlignment="1">
      <alignment horizontal="left" vertical="top" wrapText="1"/>
    </xf>
    <xf numFmtId="0" fontId="31" fillId="0" borderId="8" xfId="6" applyFont="1" applyBorder="1" applyAlignment="1">
      <alignment horizontal="left" vertical="top" wrapText="1"/>
    </xf>
    <xf numFmtId="0" fontId="31" fillId="0" borderId="9" xfId="6" applyFont="1" applyBorder="1" applyAlignment="1">
      <alignment horizontal="left" vertical="top" wrapText="1"/>
    </xf>
    <xf numFmtId="0" fontId="31" fillId="0" borderId="4" xfId="6" applyFont="1" applyBorder="1" applyAlignment="1">
      <alignment horizontal="left" vertical="top" wrapText="1"/>
    </xf>
    <xf numFmtId="49" fontId="25" fillId="0" borderId="31" xfId="5" applyNumberFormat="1" applyFont="1" applyBorder="1" applyAlignment="1">
      <alignment horizontal="left" vertical="center" shrinkToFit="1"/>
    </xf>
    <xf numFmtId="49" fontId="25" fillId="0" borderId="32" xfId="5" applyNumberFormat="1" applyFont="1" applyBorder="1" applyAlignment="1">
      <alignment horizontal="left" vertical="center" shrinkToFit="1"/>
    </xf>
    <xf numFmtId="49" fontId="25" fillId="0" borderId="33" xfId="5" applyNumberFormat="1" applyFont="1" applyBorder="1" applyAlignment="1">
      <alignment horizontal="left" vertical="center" shrinkToFit="1"/>
    </xf>
    <xf numFmtId="0" fontId="0" fillId="0" borderId="17"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19" fillId="0" borderId="23" xfId="0" applyFont="1" applyBorder="1" applyAlignment="1">
      <alignment horizontal="left" vertical="top" wrapText="1"/>
    </xf>
    <xf numFmtId="0" fontId="19" fillId="0" borderId="24" xfId="0" applyFont="1" applyBorder="1" applyAlignment="1">
      <alignment horizontal="left" vertical="top" wrapText="1"/>
    </xf>
    <xf numFmtId="0" fontId="19" fillId="0" borderId="24" xfId="0" applyFont="1" applyBorder="1" applyAlignment="1">
      <alignment horizontal="left" vertical="top"/>
    </xf>
    <xf numFmtId="0" fontId="19" fillId="0" borderId="25" xfId="0" applyFont="1" applyBorder="1" applyAlignment="1">
      <alignment horizontal="left" vertical="top"/>
    </xf>
    <xf numFmtId="0" fontId="7" fillId="0" borderId="7" xfId="0" applyFont="1" applyBorder="1" applyAlignment="1">
      <alignment horizontal="left" vertical="top" wrapText="1"/>
    </xf>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4" xfId="0" applyFont="1" applyBorder="1" applyAlignment="1">
      <alignment horizontal="left" vertical="top" wrapText="1"/>
    </xf>
    <xf numFmtId="49" fontId="25" fillId="0" borderId="9" xfId="5" applyNumberFormat="1" applyFont="1" applyBorder="1" applyAlignment="1">
      <alignment horizontal="left" vertical="center" wrapText="1" shrinkToFit="1"/>
    </xf>
    <xf numFmtId="49" fontId="25" fillId="0" borderId="9" xfId="5" applyNumberFormat="1" applyFont="1" applyBorder="1" applyAlignment="1">
      <alignment horizontal="left" vertical="center" shrinkToFit="1"/>
    </xf>
    <xf numFmtId="0" fontId="19" fillId="0" borderId="23" xfId="10" applyFont="1" applyBorder="1" applyAlignment="1">
      <alignment horizontal="left" vertical="top" wrapText="1"/>
    </xf>
    <xf numFmtId="0" fontId="19" fillId="0" borderId="24" xfId="10" applyFont="1" applyBorder="1" applyAlignment="1">
      <alignment horizontal="left" vertical="top" wrapText="1"/>
    </xf>
    <xf numFmtId="0" fontId="19" fillId="0" borderId="24" xfId="10" applyFont="1" applyBorder="1" applyAlignment="1">
      <alignment horizontal="left" vertical="top"/>
    </xf>
    <xf numFmtId="0" fontId="19" fillId="0" borderId="25" xfId="10" applyFont="1" applyBorder="1" applyAlignment="1">
      <alignment horizontal="left" vertical="top"/>
    </xf>
    <xf numFmtId="49" fontId="25" fillId="0" borderId="26" xfId="5" applyNumberFormat="1" applyFont="1" applyBorder="1" applyAlignment="1">
      <alignment horizontal="left" vertical="center" wrapText="1" shrinkToFit="1"/>
    </xf>
    <xf numFmtId="49" fontId="25" fillId="0" borderId="26" xfId="5" applyNumberFormat="1" applyFont="1" applyBorder="1" applyAlignment="1">
      <alignment horizontal="left" vertical="center" shrinkToFit="1"/>
    </xf>
    <xf numFmtId="49" fontId="25" fillId="0" borderId="27" xfId="5" applyNumberFormat="1" applyFont="1" applyBorder="1" applyAlignment="1">
      <alignment horizontal="left" vertical="center" shrinkToFit="1"/>
    </xf>
    <xf numFmtId="0" fontId="8" fillId="0" borderId="28" xfId="10" applyBorder="1" applyAlignment="1">
      <alignment horizontal="left" vertical="top"/>
    </xf>
    <xf numFmtId="0" fontId="8" fillId="0" borderId="29" xfId="10" applyBorder="1" applyAlignment="1">
      <alignment horizontal="left" vertical="top"/>
    </xf>
    <xf numFmtId="0" fontId="8" fillId="0" borderId="30" xfId="10" applyBorder="1" applyAlignment="1">
      <alignment horizontal="left" vertical="top"/>
    </xf>
    <xf numFmtId="0" fontId="19" fillId="0" borderId="7" xfId="10" applyFont="1" applyBorder="1" applyAlignment="1">
      <alignment horizontal="left" vertical="top" wrapText="1"/>
    </xf>
    <xf numFmtId="0" fontId="19" fillId="0" borderId="15" xfId="10" applyFont="1" applyBorder="1" applyAlignment="1">
      <alignment horizontal="left" vertical="top" wrapText="1"/>
    </xf>
    <xf numFmtId="0" fontId="19" fillId="0" borderId="16" xfId="10" applyFont="1" applyBorder="1" applyAlignment="1">
      <alignment horizontal="left" vertical="top" wrapText="1"/>
    </xf>
    <xf numFmtId="0" fontId="31" fillId="0" borderId="23" xfId="6" applyFont="1" applyBorder="1" applyAlignment="1">
      <alignment horizontal="left" vertical="top" wrapText="1"/>
    </xf>
    <xf numFmtId="0" fontId="31" fillId="0" borderId="24" xfId="6" applyFont="1" applyBorder="1" applyAlignment="1">
      <alignment horizontal="left" vertical="top" wrapText="1"/>
    </xf>
    <xf numFmtId="0" fontId="31" fillId="0" borderId="25" xfId="6" applyFont="1" applyBorder="1" applyAlignment="1">
      <alignment horizontal="left" vertical="top" wrapText="1"/>
    </xf>
    <xf numFmtId="0" fontId="19" fillId="0" borderId="7" xfId="6" applyFont="1" applyBorder="1" applyAlignment="1">
      <alignment horizontal="left" vertical="top" wrapText="1"/>
    </xf>
    <xf numFmtId="0" fontId="19" fillId="0" borderId="15" xfId="6" applyFont="1" applyBorder="1" applyAlignment="1">
      <alignment horizontal="left" vertical="top" wrapText="1"/>
    </xf>
    <xf numFmtId="0" fontId="19" fillId="0" borderId="16" xfId="6" applyFont="1" applyBorder="1" applyAlignment="1">
      <alignment horizontal="left" vertical="top" wrapText="1"/>
    </xf>
    <xf numFmtId="0" fontId="19" fillId="0" borderId="28" xfId="6" applyFont="1" applyBorder="1" applyAlignment="1">
      <alignment horizontal="left" vertical="top"/>
    </xf>
    <xf numFmtId="0" fontId="19" fillId="0" borderId="29" xfId="6" applyFont="1" applyBorder="1" applyAlignment="1">
      <alignment horizontal="left" vertical="top"/>
    </xf>
    <xf numFmtId="0" fontId="19" fillId="0" borderId="30" xfId="6" applyFont="1" applyBorder="1" applyAlignment="1">
      <alignment horizontal="left" vertical="top"/>
    </xf>
    <xf numFmtId="0" fontId="31" fillId="0" borderId="7" xfId="6" applyFont="1" applyBorder="1" applyAlignment="1">
      <alignment horizontal="left" vertical="top" wrapText="1"/>
    </xf>
    <xf numFmtId="0" fontId="31" fillId="0" borderId="15" xfId="6" applyFont="1" applyBorder="1" applyAlignment="1">
      <alignment horizontal="left" vertical="top" wrapText="1"/>
    </xf>
    <xf numFmtId="0" fontId="31" fillId="0" borderId="16" xfId="6" applyFont="1" applyBorder="1" applyAlignment="1">
      <alignment horizontal="left" vertical="top" wrapText="1"/>
    </xf>
    <xf numFmtId="0" fontId="8" fillId="0" borderId="17" xfId="10" applyBorder="1" applyAlignment="1">
      <alignment horizontal="left" vertical="top"/>
    </xf>
    <xf numFmtId="0" fontId="8" fillId="0" borderId="18" xfId="10" applyBorder="1" applyAlignment="1">
      <alignment horizontal="left" vertical="top"/>
    </xf>
    <xf numFmtId="0" fontId="8" fillId="0" borderId="19" xfId="10" applyBorder="1" applyAlignment="1">
      <alignment horizontal="left" vertical="top"/>
    </xf>
    <xf numFmtId="0" fontId="7" fillId="3" borderId="10" xfId="0" applyFont="1" applyFill="1" applyBorder="1" applyAlignment="1">
      <alignment horizontal="left" vertical="top"/>
    </xf>
    <xf numFmtId="0" fontId="7" fillId="3" borderId="11" xfId="0" applyFont="1" applyFill="1" applyBorder="1" applyAlignment="1">
      <alignment horizontal="left" vertical="top"/>
    </xf>
    <xf numFmtId="0" fontId="7" fillId="3" borderId="12" xfId="0" applyFont="1" applyFill="1" applyBorder="1" applyAlignment="1">
      <alignment horizontal="left" vertical="top"/>
    </xf>
    <xf numFmtId="0" fontId="7" fillId="3" borderId="7" xfId="0" applyFont="1" applyFill="1" applyBorder="1" applyAlignment="1">
      <alignment horizontal="left" vertical="top"/>
    </xf>
    <xf numFmtId="0" fontId="7" fillId="3" borderId="15" xfId="0" applyFont="1" applyFill="1" applyBorder="1" applyAlignment="1">
      <alignment horizontal="left" vertical="top"/>
    </xf>
    <xf numFmtId="0" fontId="7" fillId="3" borderId="16" xfId="0" applyFont="1" applyFill="1" applyBorder="1" applyAlignment="1">
      <alignment horizontal="left" vertical="top"/>
    </xf>
    <xf numFmtId="0" fontId="14" fillId="0" borderId="8" xfId="0" applyFont="1" applyBorder="1" applyAlignment="1">
      <alignment horizontal="left" vertical="top" wrapText="1"/>
    </xf>
    <xf numFmtId="0" fontId="14" fillId="0" borderId="9" xfId="0" applyFont="1" applyBorder="1" applyAlignment="1">
      <alignment horizontal="left" vertical="top" wrapText="1"/>
    </xf>
    <xf numFmtId="0" fontId="14" fillId="0" borderId="4" xfId="0" applyFont="1" applyBorder="1" applyAlignment="1">
      <alignment horizontal="left" vertical="top" wrapText="1"/>
    </xf>
    <xf numFmtId="0" fontId="34" fillId="0" borderId="8" xfId="0" applyFont="1" applyBorder="1" applyAlignment="1">
      <alignment horizontal="left" vertical="top" wrapText="1"/>
    </xf>
    <xf numFmtId="0" fontId="19" fillId="3" borderId="8" xfId="0" applyFont="1" applyFill="1" applyBorder="1" applyAlignment="1">
      <alignment horizontal="left" vertical="top"/>
    </xf>
    <xf numFmtId="0" fontId="19" fillId="3" borderId="9" xfId="0" applyFont="1" applyFill="1" applyBorder="1" applyAlignment="1">
      <alignment horizontal="left" vertical="top"/>
    </xf>
    <xf numFmtId="0" fontId="19" fillId="3" borderId="4" xfId="0" applyFont="1" applyFill="1" applyBorder="1" applyAlignment="1">
      <alignment horizontal="left" vertical="top"/>
    </xf>
    <xf numFmtId="0" fontId="0" fillId="0" borderId="23" xfId="0" applyBorder="1" applyAlignment="1">
      <alignment horizontal="left" vertical="top" wrapText="1"/>
    </xf>
    <xf numFmtId="0" fontId="0" fillId="0" borderId="24" xfId="0" applyBorder="1" applyAlignment="1">
      <alignment horizontal="left" vertical="top"/>
    </xf>
    <xf numFmtId="0" fontId="0" fillId="0" borderId="25" xfId="0" applyBorder="1" applyAlignment="1">
      <alignment horizontal="left" vertical="top"/>
    </xf>
    <xf numFmtId="0" fontId="19" fillId="0" borderId="7" xfId="0" applyFont="1" applyBorder="1" applyAlignment="1">
      <alignment horizontal="left" vertical="top" wrapText="1"/>
    </xf>
    <xf numFmtId="0" fontId="14" fillId="0" borderId="15" xfId="0" applyFont="1" applyBorder="1" applyAlignment="1">
      <alignment horizontal="left" vertical="top" wrapText="1"/>
    </xf>
    <xf numFmtId="0" fontId="14" fillId="0" borderId="16" xfId="0" applyFont="1" applyBorder="1" applyAlignment="1">
      <alignment horizontal="left" vertical="top" wrapText="1"/>
    </xf>
    <xf numFmtId="0" fontId="19" fillId="4" borderId="7" xfId="10" applyFont="1" applyFill="1" applyBorder="1" applyAlignment="1">
      <alignment horizontal="left" vertical="top" wrapText="1"/>
    </xf>
    <xf numFmtId="0" fontId="19" fillId="4" borderId="15" xfId="10" applyFont="1" applyFill="1" applyBorder="1" applyAlignment="1">
      <alignment horizontal="left" vertical="top" wrapText="1"/>
    </xf>
    <xf numFmtId="0" fontId="19" fillId="4" borderId="16" xfId="10" applyFont="1" applyFill="1" applyBorder="1" applyAlignment="1">
      <alignment horizontal="left" vertical="top" wrapText="1"/>
    </xf>
    <xf numFmtId="0" fontId="14" fillId="0" borderId="7" xfId="0" applyFont="1" applyBorder="1" applyAlignment="1">
      <alignment horizontal="left" vertical="top" wrapText="1"/>
    </xf>
    <xf numFmtId="0" fontId="19" fillId="4" borderId="8" xfId="0" applyFont="1" applyFill="1" applyBorder="1" applyAlignment="1">
      <alignment horizontal="left" vertical="top" wrapText="1"/>
    </xf>
    <xf numFmtId="0" fontId="19" fillId="4" borderId="9" xfId="0" applyFont="1" applyFill="1" applyBorder="1" applyAlignment="1">
      <alignment horizontal="left" vertical="top" wrapText="1"/>
    </xf>
    <xf numFmtId="0" fontId="19" fillId="4" borderId="9" xfId="0" applyFont="1" applyFill="1" applyBorder="1" applyAlignment="1">
      <alignment horizontal="left" vertical="top"/>
    </xf>
    <xf numFmtId="0" fontId="19" fillId="4" borderId="4" xfId="0" applyFont="1" applyFill="1" applyBorder="1" applyAlignment="1">
      <alignment horizontal="left" vertical="top"/>
    </xf>
    <xf numFmtId="0" fontId="16" fillId="0" borderId="8" xfId="0" applyFont="1" applyBorder="1" applyAlignment="1">
      <alignment horizontal="left" vertical="top" wrapText="1"/>
    </xf>
    <xf numFmtId="0" fontId="16" fillId="0" borderId="9" xfId="0" applyFont="1" applyBorder="1" applyAlignment="1">
      <alignment horizontal="left" vertical="top" wrapText="1"/>
    </xf>
    <xf numFmtId="0" fontId="16" fillId="0" borderId="4" xfId="0" applyFont="1" applyBorder="1" applyAlignment="1">
      <alignment horizontal="left" vertical="top" wrapText="1"/>
    </xf>
    <xf numFmtId="0" fontId="19" fillId="0" borderId="8" xfId="0" applyFont="1" applyBorder="1" applyAlignment="1">
      <alignment vertical="top" wrapText="1"/>
    </xf>
    <xf numFmtId="0" fontId="19" fillId="0" borderId="9" xfId="0" applyFont="1" applyBorder="1" applyAlignment="1">
      <alignment vertical="top" wrapText="1"/>
    </xf>
    <xf numFmtId="0" fontId="19" fillId="0" borderId="9" xfId="0" applyFont="1" applyBorder="1" applyAlignment="1">
      <alignment vertical="top"/>
    </xf>
    <xf numFmtId="0" fontId="19" fillId="0" borderId="4" xfId="0" applyFont="1" applyBorder="1" applyAlignment="1">
      <alignment vertical="top"/>
    </xf>
    <xf numFmtId="0" fontId="14" fillId="0" borderId="7" xfId="0" applyFont="1" applyBorder="1" applyAlignment="1">
      <alignment vertical="top" wrapText="1"/>
    </xf>
    <xf numFmtId="0" fontId="14" fillId="0" borderId="15" xfId="0" applyFont="1" applyBorder="1" applyAlignment="1">
      <alignment vertical="top" wrapText="1"/>
    </xf>
    <xf numFmtId="0" fontId="14" fillId="0" borderId="16" xfId="0" applyFont="1" applyBorder="1" applyAlignment="1">
      <alignment vertical="top" wrapText="1"/>
    </xf>
  </cellXfs>
  <cellStyles count="11">
    <cellStyle name="ハイパーリンク" xfId="4" builtinId="8"/>
    <cellStyle name="標準" xfId="0" builtinId="0"/>
    <cellStyle name="標準 2" xfId="2" xr:uid="{00000000-0005-0000-0000-000002000000}"/>
    <cellStyle name="標準 2 2" xfId="7" xr:uid="{00000000-0005-0000-0000-000003000000}"/>
    <cellStyle name="標準 2 3" xfId="8" xr:uid="{00000000-0005-0000-0000-000004000000}"/>
    <cellStyle name="標準 3" xfId="1" xr:uid="{00000000-0005-0000-0000-000005000000}"/>
    <cellStyle name="標準 4" xfId="3" xr:uid="{00000000-0005-0000-0000-000006000000}"/>
    <cellStyle name="標準 5" xfId="9" xr:uid="{00000000-0005-0000-0000-000007000000}"/>
    <cellStyle name="標準_記入例" xfId="10" xr:uid="{00000000-0005-0000-0000-000008000000}"/>
    <cellStyle name="標準_参照元チェックリスト" xfId="6" xr:uid="{00000000-0005-0000-0000-000009000000}"/>
    <cellStyle name="標準_変更の解説" xfId="5" xr:uid="{00000000-0005-0000-0000-00000A000000}"/>
  </cellStyles>
  <dxfs count="42">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0" tint="-0.24994659260841701"/>
      </font>
      <fill>
        <patternFill>
          <fgColor theme="0"/>
        </patternFill>
      </fill>
    </dxf>
    <dxf>
      <font>
        <color theme="1"/>
      </font>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
      <font>
        <color theme="1"/>
      </font>
    </dxf>
    <dxf>
      <font>
        <color theme="0" tint="-0.24994659260841701"/>
      </font>
      <fill>
        <patternFill>
          <fgColor theme="0"/>
        </patternFill>
      </fill>
    </dxf>
  </dxfs>
  <tableStyles count="0" defaultTableStyle="TableStyleMedium2" defaultPivotStyle="PivotStyleMedium9"/>
  <colors>
    <mruColors>
      <color rgb="FFFFCCFF"/>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emf"/><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1828800</xdr:colOff>
          <xdr:row>0</xdr:row>
          <xdr:rowOff>219075</xdr:rowOff>
        </xdr:from>
        <xdr:to>
          <xdr:col>2</xdr:col>
          <xdr:colOff>2590800</xdr:colOff>
          <xdr:row>2</xdr:row>
          <xdr:rowOff>85725</xdr:rowOff>
        </xdr:to>
        <xdr:sp macro="" textlink="">
          <xdr:nvSpPr>
            <xdr:cNvPr id="15868" name="Object 508" hidden="1">
              <a:extLst>
                <a:ext uri="{63B3BB69-23CF-44E3-9099-C40C66FF867C}">
                  <a14:compatExt spid="_x0000_s15868"/>
                </a:ext>
                <a:ext uri="{FF2B5EF4-FFF2-40B4-BE49-F238E27FC236}">
                  <a16:creationId xmlns:a16="http://schemas.microsoft.com/office/drawing/2014/main" id="{00000000-0008-0000-0000-0000FC3D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5</xdr:col>
      <xdr:colOff>114300</xdr:colOff>
      <xdr:row>1</xdr:row>
      <xdr:rowOff>57150</xdr:rowOff>
    </xdr:from>
    <xdr:to>
      <xdr:col>31</xdr:col>
      <xdr:colOff>57150</xdr:colOff>
      <xdr:row>4</xdr:row>
      <xdr:rowOff>371211</xdr:rowOff>
    </xdr:to>
    <xdr:pic>
      <xdr:nvPicPr>
        <xdr:cNvPr id="8" name="図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stretch>
          <a:fillRect/>
        </a:stretch>
      </xdr:blipFill>
      <xdr:spPr>
        <a:xfrm>
          <a:off x="5153025" y="390525"/>
          <a:ext cx="6381750" cy="1476111"/>
        </a:xfrm>
        <a:prstGeom prst="rect">
          <a:avLst/>
        </a:prstGeom>
      </xdr:spPr>
    </xdr:pic>
    <xdr:clientData/>
  </xdr:twoCellAnchor>
  <xdr:twoCellAnchor>
    <xdr:from>
      <xdr:col>4</xdr:col>
      <xdr:colOff>152400</xdr:colOff>
      <xdr:row>8</xdr:row>
      <xdr:rowOff>76199</xdr:rowOff>
    </xdr:from>
    <xdr:to>
      <xdr:col>14</xdr:col>
      <xdr:colOff>133350</xdr:colOff>
      <xdr:row>26</xdr:row>
      <xdr:rowOff>285750</xdr:rowOff>
    </xdr:to>
    <xdr:sp macro="" textlink="">
      <xdr:nvSpPr>
        <xdr:cNvPr id="2" name="テキスト ボックス 1">
          <a:extLst>
            <a:ext uri="{FF2B5EF4-FFF2-40B4-BE49-F238E27FC236}">
              <a16:creationId xmlns:a16="http://schemas.microsoft.com/office/drawing/2014/main" id="{16C56EE2-E23E-5E9F-7D7B-DCB47DFCA2D7}"/>
            </a:ext>
          </a:extLst>
        </xdr:cNvPr>
        <xdr:cNvSpPr txBox="1"/>
      </xdr:nvSpPr>
      <xdr:spPr>
        <a:xfrm>
          <a:off x="4943475" y="6019799"/>
          <a:ext cx="2457450" cy="1241107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V6</a:t>
          </a:r>
          <a:r>
            <a:rPr kumimoji="1" lang="ja-JP" altLang="en-US" sz="1100">
              <a:solidFill>
                <a:srgbClr val="FF0000"/>
              </a:solidFill>
            </a:rPr>
            <a:t>機種にて実績あるため調査省略</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294218</xdr:colOff>
      <xdr:row>6</xdr:row>
      <xdr:rowOff>20108</xdr:rowOff>
    </xdr:from>
    <xdr:ext cx="7291996" cy="642484"/>
    <xdr:sp macro="" textlink="">
      <xdr:nvSpPr>
        <xdr:cNvPr id="26" name="テキスト ボックス 25">
          <a:extLst>
            <a:ext uri="{FF2B5EF4-FFF2-40B4-BE49-F238E27FC236}">
              <a16:creationId xmlns:a16="http://schemas.microsoft.com/office/drawing/2014/main" id="{00000000-0008-0000-0100-00001A000000}"/>
            </a:ext>
          </a:extLst>
        </xdr:cNvPr>
        <xdr:cNvSpPr txBox="1"/>
      </xdr:nvSpPr>
      <xdr:spPr>
        <a:xfrm>
          <a:off x="6980768" y="1715558"/>
          <a:ext cx="7291996" cy="6424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eaLnBrk="1" fontAlgn="base" hangingPunct="1"/>
          <a:r>
            <a:rPr lang="ja-JP" altLang="en-US" sz="1100">
              <a:solidFill>
                <a:schemeClr val="tx1"/>
              </a:solidFill>
              <a:effectLst/>
              <a:latin typeface="+mn-lt"/>
              <a:ea typeface="+mn-ea"/>
              <a:cs typeface="+mn-cs"/>
            </a:rPr>
            <a:t>再構築のルールとして、参照側は安定的な変数を見る。</a:t>
          </a:r>
          <a:endParaRPr lang="en-US" altLang="ja-JP" sz="1100">
            <a:solidFill>
              <a:schemeClr val="tx1"/>
            </a:solidFill>
            <a:effectLst/>
            <a:latin typeface="+mn-lt"/>
            <a:ea typeface="+mn-ea"/>
            <a:cs typeface="+mn-cs"/>
          </a:endParaRPr>
        </a:p>
        <a:p>
          <a:pPr rtl="0" eaLnBrk="1" fontAlgn="base" hangingPunct="1"/>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安定的な変数とは，</a:t>
          </a:r>
          <a:endParaRPr lang="ja-JP" altLang="ja-JP">
            <a:effectLst/>
          </a:endParaRPr>
        </a:p>
        <a:p>
          <a:pPr rtl="0" eaLnBrk="1" fontAlgn="base" hangingPunct="1"/>
          <a:r>
            <a:rPr lang="ja-JP" altLang="ja-JP" sz="1100">
              <a:solidFill>
                <a:schemeClr val="tx1"/>
              </a:solidFill>
              <a:effectLst/>
              <a:latin typeface="+mn-lt"/>
              <a:ea typeface="+mn-ea"/>
              <a:cs typeface="+mn-cs"/>
            </a:rPr>
            <a:t>　　制御全体から参照されることを想定した </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センサ値・状態推定値</a:t>
          </a:r>
          <a:r>
            <a:rPr lang="en-US" altLang="ja-JP" sz="1100">
              <a:solidFill>
                <a:schemeClr val="tx1"/>
              </a:solidFill>
              <a:effectLst/>
              <a:latin typeface="+mn-lt"/>
              <a:ea typeface="+mn-ea"/>
              <a:cs typeface="+mn-cs"/>
            </a:rPr>
            <a:t>』 『</a:t>
          </a:r>
          <a:r>
            <a:rPr lang="ja-JP" altLang="ja-JP" sz="1100">
              <a:solidFill>
                <a:schemeClr val="tx1"/>
              </a:solidFill>
              <a:effectLst/>
              <a:latin typeface="+mn-lt"/>
              <a:ea typeface="+mn-ea"/>
              <a:cs typeface="+mn-cs"/>
            </a:rPr>
            <a:t>各種要求の調停結果</a:t>
          </a:r>
          <a:r>
            <a:rPr lang="en-US" altLang="ja-JP" sz="1100">
              <a:solidFill>
                <a:schemeClr val="tx1"/>
              </a:solidFill>
              <a:effectLst/>
              <a:latin typeface="+mn-lt"/>
              <a:ea typeface="+mn-ea"/>
              <a:cs typeface="+mn-cs"/>
            </a:rPr>
            <a:t>』 『</a:t>
          </a:r>
          <a:r>
            <a:rPr lang="ja-JP" altLang="ja-JP" sz="1100">
              <a:solidFill>
                <a:schemeClr val="tx1"/>
              </a:solidFill>
              <a:effectLst/>
              <a:latin typeface="+mn-lt"/>
              <a:ea typeface="+mn-ea"/>
              <a:cs typeface="+mn-cs"/>
            </a:rPr>
            <a:t>機能の最終出力値</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のこと</a:t>
          </a:r>
          <a:endParaRPr lang="ja-JP" altLang="ja-JP">
            <a:effectLst/>
          </a:endParaRPr>
        </a:p>
      </xdr:txBody>
    </xdr:sp>
    <xdr:clientData/>
  </xdr:oneCellAnchor>
  <xdr:twoCellAnchor editAs="oneCell">
    <xdr:from>
      <xdr:col>1</xdr:col>
      <xdr:colOff>1105264</xdr:colOff>
      <xdr:row>85</xdr:row>
      <xdr:rowOff>48261</xdr:rowOff>
    </xdr:from>
    <xdr:to>
      <xdr:col>2</xdr:col>
      <xdr:colOff>2730509</xdr:colOff>
      <xdr:row>94</xdr:row>
      <xdr:rowOff>15261</xdr:rowOff>
    </xdr:to>
    <xdr:pic>
      <xdr:nvPicPr>
        <xdr:cNvPr id="27" name="図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1"/>
        <a:stretch>
          <a:fillRect/>
        </a:stretch>
      </xdr:blipFill>
      <xdr:spPr>
        <a:xfrm>
          <a:off x="1792721" y="14807870"/>
          <a:ext cx="3207223" cy="1532413"/>
        </a:xfrm>
        <a:prstGeom prst="rect">
          <a:avLst/>
        </a:prstGeom>
      </xdr:spPr>
    </xdr:pic>
    <xdr:clientData/>
  </xdr:twoCellAnchor>
  <xdr:twoCellAnchor>
    <xdr:from>
      <xdr:col>2</xdr:col>
      <xdr:colOff>977343</xdr:colOff>
      <xdr:row>96</xdr:row>
      <xdr:rowOff>143972</xdr:rowOff>
    </xdr:from>
    <xdr:to>
      <xdr:col>2</xdr:col>
      <xdr:colOff>3990195</xdr:colOff>
      <xdr:row>103</xdr:row>
      <xdr:rowOff>154495</xdr:rowOff>
    </xdr:to>
    <xdr:sp macro="" textlink="">
      <xdr:nvSpPr>
        <xdr:cNvPr id="28" name="角丸四角形吹き出し 27">
          <a:extLst>
            <a:ext uri="{FF2B5EF4-FFF2-40B4-BE49-F238E27FC236}">
              <a16:creationId xmlns:a16="http://schemas.microsoft.com/office/drawing/2014/main" id="{00000000-0008-0000-0100-00001C000000}"/>
            </a:ext>
          </a:extLst>
        </xdr:cNvPr>
        <xdr:cNvSpPr/>
      </xdr:nvSpPr>
      <xdr:spPr>
        <a:xfrm>
          <a:off x="3246778" y="16816863"/>
          <a:ext cx="3012852" cy="1228067"/>
        </a:xfrm>
        <a:prstGeom prst="wedgeRoundRectCallout">
          <a:avLst>
            <a:gd name="adj1" fmla="val -30007"/>
            <a:gd name="adj2" fmla="val -88946"/>
            <a:gd name="adj3" fmla="val 16667"/>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t">
          <a:spAutoFit/>
        </a:bodyPr>
        <a:lstStyle/>
        <a:p>
          <a:pPr algn="l"/>
          <a:r>
            <a:rPr kumimoji="1" lang="en-US" altLang="ja-JP" sz="1100">
              <a:solidFill>
                <a:sysClr val="windowText" lastClr="000000"/>
              </a:solidFill>
            </a:rPr>
            <a:t>eklgcnd</a:t>
          </a:r>
          <a:r>
            <a:rPr kumimoji="1" lang="ja-JP" altLang="en-US" sz="1100">
              <a:solidFill>
                <a:sysClr val="windowText" lastClr="000000"/>
              </a:solidFill>
            </a:rPr>
            <a:t>　</a:t>
          </a:r>
          <a:r>
            <a:rPr kumimoji="1" lang="en-US" altLang="ja-JP" sz="1100">
              <a:solidFill>
                <a:sysClr val="windowText" lastClr="000000"/>
              </a:solidFill>
            </a:rPr>
            <a:t>131msl</a:t>
          </a:r>
          <a:r>
            <a:rPr kumimoji="1" lang="ja-JP" altLang="en-US" sz="1100">
              <a:solidFill>
                <a:sysClr val="windowText" lastClr="000000"/>
              </a:solidFill>
            </a:rPr>
            <a:t>での参照周期では、</a:t>
          </a:r>
          <a:endParaRPr kumimoji="1" lang="en-US" altLang="ja-JP" sz="1100">
            <a:solidFill>
              <a:sysClr val="windowText" lastClr="000000"/>
            </a:solidFill>
          </a:endParaRPr>
        </a:p>
        <a:p>
          <a:pPr algn="l"/>
          <a:r>
            <a:rPr kumimoji="1" lang="en-US" altLang="ja-JP" sz="1100">
              <a:solidFill>
                <a:sysClr val="windowText" lastClr="000000"/>
              </a:solidFill>
            </a:rPr>
            <a:t>eisccnd</a:t>
          </a:r>
          <a:r>
            <a:rPr kumimoji="1" lang="ja-JP" altLang="en-US" sz="1100">
              <a:solidFill>
                <a:sysClr val="windowText" lastClr="000000"/>
              </a:solidFill>
            </a:rPr>
            <a:t>の</a:t>
          </a:r>
          <a:r>
            <a:rPr kumimoji="1" lang="en-US" altLang="ja-JP" sz="1100">
              <a:solidFill>
                <a:sysClr val="windowText" lastClr="000000"/>
              </a:solidFill>
            </a:rPr>
            <a:t>65msl</a:t>
          </a:r>
          <a:r>
            <a:rPr kumimoji="1" lang="ja-JP" altLang="en-US" sz="1100">
              <a:solidFill>
                <a:sysClr val="windowText" lastClr="000000"/>
              </a:solidFill>
            </a:rPr>
            <a:t>でのエッジ更新をとらえられない</a:t>
          </a:r>
        </a:p>
      </xdr:txBody>
    </xdr:sp>
    <xdr:clientData/>
  </xdr:twoCellAnchor>
  <xdr:twoCellAnchor editAs="oneCell">
    <xdr:from>
      <xdr:col>1</xdr:col>
      <xdr:colOff>59656</xdr:colOff>
      <xdr:row>108</xdr:row>
      <xdr:rowOff>52318</xdr:rowOff>
    </xdr:from>
    <xdr:to>
      <xdr:col>3</xdr:col>
      <xdr:colOff>3759466</xdr:colOff>
      <xdr:row>134</xdr:row>
      <xdr:rowOff>90080</xdr:rowOff>
    </xdr:to>
    <xdr:pic>
      <xdr:nvPicPr>
        <xdr:cNvPr id="29" name="図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2"/>
        <a:stretch>
          <a:fillRect/>
        </a:stretch>
      </xdr:blipFill>
      <xdr:spPr>
        <a:xfrm>
          <a:off x="745456" y="25636468"/>
          <a:ext cx="9700560" cy="4533562"/>
        </a:xfrm>
        <a:prstGeom prst="rect">
          <a:avLst/>
        </a:prstGeom>
      </xdr:spPr>
    </xdr:pic>
    <xdr:clientData/>
  </xdr:twoCellAnchor>
  <xdr:twoCellAnchor editAs="oneCell">
    <xdr:from>
      <xdr:col>1</xdr:col>
      <xdr:colOff>332015</xdr:colOff>
      <xdr:row>52</xdr:row>
      <xdr:rowOff>19050</xdr:rowOff>
    </xdr:from>
    <xdr:to>
      <xdr:col>3</xdr:col>
      <xdr:colOff>3706586</xdr:colOff>
      <xdr:row>79</xdr:row>
      <xdr:rowOff>159675</xdr:rowOff>
    </xdr:to>
    <xdr:pic>
      <xdr:nvPicPr>
        <xdr:cNvPr id="32" name="図 31">
          <a:extLst>
            <a:ext uri="{FF2B5EF4-FFF2-40B4-BE49-F238E27FC236}">
              <a16:creationId xmlns:a16="http://schemas.microsoft.com/office/drawing/2014/main" id="{00000000-0008-0000-0100-000020000000}"/>
            </a:ext>
          </a:extLst>
        </xdr:cNvPr>
        <xdr:cNvPicPr>
          <a:picLocks noChangeAspect="1"/>
        </xdr:cNvPicPr>
      </xdr:nvPicPr>
      <xdr:blipFill rotWithShape="1">
        <a:blip xmlns:r="http://schemas.openxmlformats.org/officeDocument/2006/relationships" r:embed="rId3"/>
        <a:srcRect l="7392" t="12918"/>
        <a:stretch/>
      </xdr:blipFill>
      <xdr:spPr>
        <a:xfrm>
          <a:off x="1017815" y="14582775"/>
          <a:ext cx="9375321" cy="5026950"/>
        </a:xfrm>
        <a:prstGeom prst="rect">
          <a:avLst/>
        </a:prstGeom>
      </xdr:spPr>
    </xdr:pic>
    <xdr:clientData/>
  </xdr:twoCellAnchor>
  <xdr:twoCellAnchor>
    <xdr:from>
      <xdr:col>3</xdr:col>
      <xdr:colOff>4029076</xdr:colOff>
      <xdr:row>52</xdr:row>
      <xdr:rowOff>76200</xdr:rowOff>
    </xdr:from>
    <xdr:to>
      <xdr:col>4</xdr:col>
      <xdr:colOff>4743451</xdr:colOff>
      <xdr:row>56</xdr:row>
      <xdr:rowOff>57150</xdr:rowOff>
    </xdr:to>
    <xdr:sp macro="" textlink="">
      <xdr:nvSpPr>
        <xdr:cNvPr id="35" name="テキスト ボックス 5">
          <a:extLst>
            <a:ext uri="{FF2B5EF4-FFF2-40B4-BE49-F238E27FC236}">
              <a16:creationId xmlns:a16="http://schemas.microsoft.com/office/drawing/2014/main" id="{00000000-0008-0000-0100-000023000000}"/>
            </a:ext>
          </a:extLst>
        </xdr:cNvPr>
        <xdr:cNvSpPr txBox="1"/>
      </xdr:nvSpPr>
      <xdr:spPr>
        <a:xfrm>
          <a:off x="10715626" y="14639925"/>
          <a:ext cx="5124450" cy="704850"/>
        </a:xfrm>
        <a:prstGeom prst="rect">
          <a:avLst/>
        </a:prstGeom>
        <a:solidFill>
          <a:schemeClr val="accent6">
            <a:lumMod val="40000"/>
            <a:lumOff val="60000"/>
          </a:schemeClr>
        </a:solid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a:latin typeface="+mj-ea"/>
              <a:ea typeface="+mj-ea"/>
            </a:rPr>
            <a:t>正しい設計例：</a:t>
          </a:r>
          <a:endParaRPr lang="en-US" altLang="ja-JP">
            <a:latin typeface="+mj-ea"/>
            <a:ea typeface="+mj-ea"/>
          </a:endParaRPr>
        </a:p>
        <a:p>
          <a:r>
            <a:rPr lang="ja-JP" altLang="en-US">
              <a:latin typeface="+mj-ea"/>
              <a:ea typeface="+mj-ea"/>
            </a:rPr>
            <a:t>噴射パラメータの算出を同一処理タイミングとする。</a:t>
          </a:r>
          <a:endParaRPr lang="en-US" altLang="ja-JP">
            <a:latin typeface="+mj-ea"/>
            <a:ea typeface="+mj-ea"/>
          </a:endParaRPr>
        </a:p>
      </xdr:txBody>
    </xdr:sp>
    <xdr:clientData/>
  </xdr:twoCellAnchor>
  <xdr:twoCellAnchor editAs="oneCell">
    <xdr:from>
      <xdr:col>3</xdr:col>
      <xdr:colOff>4081089</xdr:colOff>
      <xdr:row>56</xdr:row>
      <xdr:rowOff>25475</xdr:rowOff>
    </xdr:from>
    <xdr:to>
      <xdr:col>4</xdr:col>
      <xdr:colOff>4714875</xdr:colOff>
      <xdr:row>79</xdr:row>
      <xdr:rowOff>67557</xdr:rowOff>
    </xdr:to>
    <xdr:pic>
      <xdr:nvPicPr>
        <xdr:cNvPr id="36" name="図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4"/>
        <a:stretch>
          <a:fillRect/>
        </a:stretch>
      </xdr:blipFill>
      <xdr:spPr>
        <a:xfrm>
          <a:off x="10767639" y="15313100"/>
          <a:ext cx="5043861" cy="4204507"/>
        </a:xfrm>
        <a:prstGeom prst="rect">
          <a:avLst/>
        </a:prstGeom>
      </xdr:spPr>
    </xdr:pic>
    <xdr:clientData/>
  </xdr:twoCellAnchor>
  <xdr:twoCellAnchor>
    <xdr:from>
      <xdr:col>3</xdr:col>
      <xdr:colOff>3848100</xdr:colOff>
      <xdr:row>52</xdr:row>
      <xdr:rowOff>19050</xdr:rowOff>
    </xdr:from>
    <xdr:to>
      <xdr:col>3</xdr:col>
      <xdr:colOff>3848100</xdr:colOff>
      <xdr:row>80</xdr:row>
      <xdr:rowOff>104775</xdr:rowOff>
    </xdr:to>
    <xdr:cxnSp macro="">
      <xdr:nvCxnSpPr>
        <xdr:cNvPr id="38" name="直線コネクタ 37">
          <a:extLst>
            <a:ext uri="{FF2B5EF4-FFF2-40B4-BE49-F238E27FC236}">
              <a16:creationId xmlns:a16="http://schemas.microsoft.com/office/drawing/2014/main" id="{00000000-0008-0000-0100-000026000000}"/>
            </a:ext>
          </a:extLst>
        </xdr:cNvPr>
        <xdr:cNvCxnSpPr/>
      </xdr:nvCxnSpPr>
      <xdr:spPr>
        <a:xfrm>
          <a:off x="10534650" y="14582775"/>
          <a:ext cx="0" cy="5153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361950</xdr:colOff>
      <xdr:row>137</xdr:row>
      <xdr:rowOff>19049</xdr:rowOff>
    </xdr:from>
    <xdr:to>
      <xdr:col>2</xdr:col>
      <xdr:colOff>2905126</xdr:colOff>
      <xdr:row>159</xdr:row>
      <xdr:rowOff>57150</xdr:rowOff>
    </xdr:to>
    <xdr:grpSp>
      <xdr:nvGrpSpPr>
        <xdr:cNvPr id="34" name="グループ化 33">
          <a:extLst>
            <a:ext uri="{FF2B5EF4-FFF2-40B4-BE49-F238E27FC236}">
              <a16:creationId xmlns:a16="http://schemas.microsoft.com/office/drawing/2014/main" id="{00000000-0008-0000-0100-000022000000}"/>
            </a:ext>
          </a:extLst>
        </xdr:cNvPr>
        <xdr:cNvGrpSpPr/>
      </xdr:nvGrpSpPr>
      <xdr:grpSpPr>
        <a:xfrm>
          <a:off x="1047750" y="32604074"/>
          <a:ext cx="4124326" cy="3810001"/>
          <a:chOff x="1047750" y="30260924"/>
          <a:chExt cx="4124326" cy="3810001"/>
        </a:xfrm>
      </xdr:grpSpPr>
      <xdr:sp macro="" textlink="">
        <xdr:nvSpPr>
          <xdr:cNvPr id="40" name="正方形/長方形 39">
            <a:extLst>
              <a:ext uri="{FF2B5EF4-FFF2-40B4-BE49-F238E27FC236}">
                <a16:creationId xmlns:a16="http://schemas.microsoft.com/office/drawing/2014/main" id="{00000000-0008-0000-0100-000028000000}"/>
              </a:ext>
            </a:extLst>
          </xdr:cNvPr>
          <xdr:cNvSpPr/>
        </xdr:nvSpPr>
        <xdr:spPr>
          <a:xfrm>
            <a:off x="1047750" y="30260924"/>
            <a:ext cx="4124326" cy="3810001"/>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l"/>
            <a:r>
              <a:rPr kumimoji="1" lang="en-US" altLang="ja-JP" sz="2000">
                <a:solidFill>
                  <a:sysClr val="windowText" lastClr="000000"/>
                </a:solidFill>
              </a:rPr>
              <a:t>6-1</a:t>
            </a:r>
            <a:r>
              <a:rPr kumimoji="1" lang="ja-JP" altLang="en-US" sz="2000">
                <a:solidFill>
                  <a:sysClr val="windowText" lastClr="000000"/>
                </a:solidFill>
              </a:rPr>
              <a:t> イメージ</a:t>
            </a:r>
          </a:p>
        </xdr:txBody>
      </xdr:sp>
      <xdr:sp macro="" textlink="">
        <xdr:nvSpPr>
          <xdr:cNvPr id="30" name="正方形/長方形 29">
            <a:extLst>
              <a:ext uri="{FF2B5EF4-FFF2-40B4-BE49-F238E27FC236}">
                <a16:creationId xmlns:a16="http://schemas.microsoft.com/office/drawing/2014/main" id="{00000000-0008-0000-0100-00001E000000}"/>
              </a:ext>
            </a:extLst>
          </xdr:cNvPr>
          <xdr:cNvSpPr/>
        </xdr:nvSpPr>
        <xdr:spPr>
          <a:xfrm>
            <a:off x="1209675" y="30746699"/>
            <a:ext cx="1809750" cy="1676401"/>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2000">
                <a:solidFill>
                  <a:sysClr val="windowText" lastClr="000000"/>
                </a:solidFill>
              </a:rPr>
              <a:t>コア</a:t>
            </a:r>
            <a:r>
              <a:rPr kumimoji="1" lang="en-US" altLang="ja-JP" sz="2000">
                <a:solidFill>
                  <a:sysClr val="windowText" lastClr="000000"/>
                </a:solidFill>
              </a:rPr>
              <a:t>1</a:t>
            </a:r>
            <a:endParaRPr kumimoji="1" lang="ja-JP" altLang="en-US" sz="2000">
              <a:solidFill>
                <a:sysClr val="windowText" lastClr="000000"/>
              </a:solidFill>
            </a:endParaRPr>
          </a:p>
        </xdr:txBody>
      </xdr:sp>
      <xdr:sp macro="" textlink="">
        <xdr:nvSpPr>
          <xdr:cNvPr id="37" name="正方形/長方形 36">
            <a:extLst>
              <a:ext uri="{FF2B5EF4-FFF2-40B4-BE49-F238E27FC236}">
                <a16:creationId xmlns:a16="http://schemas.microsoft.com/office/drawing/2014/main" id="{00000000-0008-0000-0100-000025000000}"/>
              </a:ext>
            </a:extLst>
          </xdr:cNvPr>
          <xdr:cNvSpPr/>
        </xdr:nvSpPr>
        <xdr:spPr>
          <a:xfrm>
            <a:off x="3162300" y="30746699"/>
            <a:ext cx="1809750" cy="1676401"/>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2000">
                <a:solidFill>
                  <a:sysClr val="windowText" lastClr="000000"/>
                </a:solidFill>
              </a:rPr>
              <a:t>コア</a:t>
            </a:r>
            <a:r>
              <a:rPr kumimoji="1" lang="en-US" altLang="ja-JP" sz="2000">
                <a:solidFill>
                  <a:sysClr val="windowText" lastClr="000000"/>
                </a:solidFill>
              </a:rPr>
              <a:t>2</a:t>
            </a:r>
            <a:endParaRPr kumimoji="1" lang="ja-JP" altLang="en-US" sz="2000">
              <a:solidFill>
                <a:sysClr val="windowText" lastClr="000000"/>
              </a:solidFill>
            </a:endParaRPr>
          </a:p>
        </xdr:txBody>
      </xdr:sp>
      <xdr:sp macro="" textlink="">
        <xdr:nvSpPr>
          <xdr:cNvPr id="39" name="正方形/長方形 38">
            <a:extLst>
              <a:ext uri="{FF2B5EF4-FFF2-40B4-BE49-F238E27FC236}">
                <a16:creationId xmlns:a16="http://schemas.microsoft.com/office/drawing/2014/main" id="{00000000-0008-0000-0100-000027000000}"/>
              </a:ext>
            </a:extLst>
          </xdr:cNvPr>
          <xdr:cNvSpPr/>
        </xdr:nvSpPr>
        <xdr:spPr>
          <a:xfrm>
            <a:off x="1371600" y="31175324"/>
            <a:ext cx="1476375" cy="1143001"/>
          </a:xfrm>
          <a:prstGeom prst="rect">
            <a:avLst/>
          </a:prstGeom>
          <a:solidFill>
            <a:schemeClr val="accent6">
              <a:lumMod val="60000"/>
              <a:lumOff val="40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2000">
                <a:solidFill>
                  <a:sysClr val="windowText" lastClr="000000"/>
                </a:solidFill>
              </a:rPr>
              <a:t>自部品</a:t>
            </a:r>
          </a:p>
        </xdr:txBody>
      </xdr:sp>
      <xdr:sp macro="" textlink="">
        <xdr:nvSpPr>
          <xdr:cNvPr id="41" name="正方形/長方形 40">
            <a:extLst>
              <a:ext uri="{FF2B5EF4-FFF2-40B4-BE49-F238E27FC236}">
                <a16:creationId xmlns:a16="http://schemas.microsoft.com/office/drawing/2014/main" id="{00000000-0008-0000-0100-000029000000}"/>
              </a:ext>
            </a:extLst>
          </xdr:cNvPr>
          <xdr:cNvSpPr/>
        </xdr:nvSpPr>
        <xdr:spPr>
          <a:xfrm>
            <a:off x="3343275" y="31146749"/>
            <a:ext cx="1476375" cy="1143001"/>
          </a:xfrm>
          <a:prstGeom prst="rect">
            <a:avLst/>
          </a:prstGeom>
          <a:solidFill>
            <a:schemeClr val="accent6">
              <a:lumMod val="60000"/>
              <a:lumOff val="40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2000">
                <a:solidFill>
                  <a:sysClr val="windowText" lastClr="000000"/>
                </a:solidFill>
              </a:rPr>
              <a:t>参照元部品</a:t>
            </a:r>
            <a:endParaRPr kumimoji="1" lang="en-US" altLang="ja-JP" sz="2000">
              <a:solidFill>
                <a:sysClr val="windowText" lastClr="000000"/>
              </a:solidFill>
            </a:endParaRPr>
          </a:p>
          <a:p>
            <a:pPr algn="ctr"/>
            <a:r>
              <a:rPr kumimoji="1" lang="en-US" altLang="ja-JP" sz="2000">
                <a:solidFill>
                  <a:sysClr val="windowText" lastClr="000000"/>
                </a:solidFill>
              </a:rPr>
              <a:t>IF</a:t>
            </a:r>
            <a:endParaRPr kumimoji="1" lang="ja-JP" altLang="en-US" sz="2000">
              <a:solidFill>
                <a:sysClr val="windowText" lastClr="000000"/>
              </a:solidFill>
            </a:endParaRPr>
          </a:p>
        </xdr:txBody>
      </xdr:sp>
      <xdr:cxnSp macro="">
        <xdr:nvCxnSpPr>
          <xdr:cNvPr id="33" name="直線矢印コネクタ 32">
            <a:extLst>
              <a:ext uri="{FF2B5EF4-FFF2-40B4-BE49-F238E27FC236}">
                <a16:creationId xmlns:a16="http://schemas.microsoft.com/office/drawing/2014/main" id="{00000000-0008-0000-0100-000021000000}"/>
              </a:ext>
            </a:extLst>
          </xdr:cNvPr>
          <xdr:cNvCxnSpPr/>
        </xdr:nvCxnSpPr>
        <xdr:spPr>
          <a:xfrm flipH="1">
            <a:off x="2502205" y="31670625"/>
            <a:ext cx="1301141" cy="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2" name="正方形/長方形 41">
            <a:extLst>
              <a:ext uri="{FF2B5EF4-FFF2-40B4-BE49-F238E27FC236}">
                <a16:creationId xmlns:a16="http://schemas.microsoft.com/office/drawing/2014/main" id="{00000000-0008-0000-0100-00002A000000}"/>
              </a:ext>
            </a:extLst>
          </xdr:cNvPr>
          <xdr:cNvSpPr/>
        </xdr:nvSpPr>
        <xdr:spPr>
          <a:xfrm>
            <a:off x="1133474" y="32508825"/>
            <a:ext cx="3990975" cy="390525"/>
          </a:xfrm>
          <a:prstGeom prst="rect">
            <a:avLst/>
          </a:prstGeom>
          <a:solidFill>
            <a:sysClr val="window" lastClr="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1200">
                <a:solidFill>
                  <a:sysClr val="windowText" lastClr="000000"/>
                </a:solidFill>
              </a:rPr>
              <a:t>コア跨ぎで</a:t>
            </a:r>
            <a:r>
              <a:rPr kumimoji="1" lang="en-US" altLang="ja-JP" sz="1200">
                <a:solidFill>
                  <a:sysClr val="windowText" lastClr="000000"/>
                </a:solidFill>
              </a:rPr>
              <a:t>IF</a:t>
            </a:r>
            <a:r>
              <a:rPr kumimoji="1" lang="ja-JP" altLang="en-US" sz="1200">
                <a:solidFill>
                  <a:sysClr val="windowText" lastClr="000000"/>
                </a:solidFill>
              </a:rPr>
              <a:t>を参照する場合は遅れを考慮すること。</a:t>
            </a:r>
            <a:endParaRPr kumimoji="1" lang="en-US" altLang="ja-JP" sz="1200">
              <a:solidFill>
                <a:sysClr val="windowText" lastClr="000000"/>
              </a:solidFill>
            </a:endParaRPr>
          </a:p>
        </xdr:txBody>
      </xdr:sp>
    </xdr:grpSp>
    <xdr:clientData/>
  </xdr:twoCellAnchor>
  <xdr:twoCellAnchor>
    <xdr:from>
      <xdr:col>2</xdr:col>
      <xdr:colOff>3762374</xdr:colOff>
      <xdr:row>136</xdr:row>
      <xdr:rowOff>142874</xdr:rowOff>
    </xdr:from>
    <xdr:to>
      <xdr:col>4</xdr:col>
      <xdr:colOff>4181475</xdr:colOff>
      <xdr:row>159</xdr:row>
      <xdr:rowOff>76200</xdr:rowOff>
    </xdr:to>
    <xdr:grpSp>
      <xdr:nvGrpSpPr>
        <xdr:cNvPr id="80" name="グループ化 79">
          <a:extLst>
            <a:ext uri="{FF2B5EF4-FFF2-40B4-BE49-F238E27FC236}">
              <a16:creationId xmlns:a16="http://schemas.microsoft.com/office/drawing/2014/main" id="{00000000-0008-0000-0100-000050000000}"/>
            </a:ext>
          </a:extLst>
        </xdr:cNvPr>
        <xdr:cNvGrpSpPr/>
      </xdr:nvGrpSpPr>
      <xdr:grpSpPr>
        <a:xfrm>
          <a:off x="6029324" y="32556449"/>
          <a:ext cx="9248776" cy="3876676"/>
          <a:chOff x="6029324" y="31070549"/>
          <a:chExt cx="9248776" cy="3876676"/>
        </a:xfrm>
      </xdr:grpSpPr>
      <xdr:grpSp>
        <xdr:nvGrpSpPr>
          <xdr:cNvPr id="43" name="グループ化 42">
            <a:extLst>
              <a:ext uri="{FF2B5EF4-FFF2-40B4-BE49-F238E27FC236}">
                <a16:creationId xmlns:a16="http://schemas.microsoft.com/office/drawing/2014/main" id="{00000000-0008-0000-0100-00002B000000}"/>
              </a:ext>
            </a:extLst>
          </xdr:cNvPr>
          <xdr:cNvGrpSpPr/>
        </xdr:nvGrpSpPr>
        <xdr:grpSpPr>
          <a:xfrm>
            <a:off x="6029324" y="31070549"/>
            <a:ext cx="9248776" cy="3876676"/>
            <a:chOff x="1276349" y="30279974"/>
            <a:chExt cx="9248776" cy="3876676"/>
          </a:xfrm>
        </xdr:grpSpPr>
        <xdr:sp macro="" textlink="">
          <xdr:nvSpPr>
            <xdr:cNvPr id="44" name="正方形/長方形 43">
              <a:extLst>
                <a:ext uri="{FF2B5EF4-FFF2-40B4-BE49-F238E27FC236}">
                  <a16:creationId xmlns:a16="http://schemas.microsoft.com/office/drawing/2014/main" id="{00000000-0008-0000-0100-00002C000000}"/>
                </a:ext>
              </a:extLst>
            </xdr:cNvPr>
            <xdr:cNvSpPr/>
          </xdr:nvSpPr>
          <xdr:spPr>
            <a:xfrm>
              <a:off x="1276349" y="30279974"/>
              <a:ext cx="9248776" cy="3876676"/>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l"/>
              <a:r>
                <a:rPr kumimoji="1" lang="en-US" altLang="ja-JP" sz="2000">
                  <a:solidFill>
                    <a:sysClr val="windowText" lastClr="000000"/>
                  </a:solidFill>
                </a:rPr>
                <a:t>6-2</a:t>
              </a:r>
              <a:r>
                <a:rPr kumimoji="1" lang="ja-JP" altLang="en-US" sz="2000">
                  <a:solidFill>
                    <a:sysClr val="windowText" lastClr="000000"/>
                  </a:solidFill>
                </a:rPr>
                <a:t> イメージ</a:t>
              </a:r>
            </a:p>
          </xdr:txBody>
        </xdr:sp>
        <xdr:sp macro="" textlink="">
          <xdr:nvSpPr>
            <xdr:cNvPr id="50" name="正方形/長方形 49">
              <a:extLst>
                <a:ext uri="{FF2B5EF4-FFF2-40B4-BE49-F238E27FC236}">
                  <a16:creationId xmlns:a16="http://schemas.microsoft.com/office/drawing/2014/main" id="{00000000-0008-0000-0100-000032000000}"/>
                </a:ext>
              </a:extLst>
            </xdr:cNvPr>
            <xdr:cNvSpPr/>
          </xdr:nvSpPr>
          <xdr:spPr>
            <a:xfrm>
              <a:off x="1390649" y="32575500"/>
              <a:ext cx="4133851" cy="933450"/>
            </a:xfrm>
            <a:prstGeom prst="rect">
              <a:avLst/>
            </a:prstGeom>
            <a:solidFill>
              <a:sysClr val="window" lastClr="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1200">
                  <a:solidFill>
                    <a:sysClr val="windowText" lastClr="000000"/>
                  </a:solidFill>
                </a:rPr>
                <a:t>コア跨ぎで複数</a:t>
              </a:r>
              <a:r>
                <a:rPr kumimoji="1" lang="en-US" altLang="ja-JP" sz="1200">
                  <a:solidFill>
                    <a:sysClr val="windowText" lastClr="000000"/>
                  </a:solidFill>
                </a:rPr>
                <a:t>IF</a:t>
              </a:r>
              <a:r>
                <a:rPr kumimoji="1" lang="ja-JP" altLang="en-US" sz="1200">
                  <a:solidFill>
                    <a:sysClr val="windowText" lastClr="000000"/>
                  </a:solidFill>
                </a:rPr>
                <a:t>を参照する場合に、</a:t>
              </a:r>
              <a:r>
                <a:rPr kumimoji="1" lang="en-US" altLang="ja-JP" sz="1200">
                  <a:solidFill>
                    <a:sysClr val="windowText" lastClr="000000"/>
                  </a:solidFill>
                </a:rPr>
                <a:t>IF</a:t>
              </a:r>
              <a:r>
                <a:rPr kumimoji="1" lang="ja-JP" altLang="en-US" sz="1200">
                  <a:solidFill>
                    <a:sysClr val="windowText" lastClr="000000"/>
                  </a:solidFill>
                </a:rPr>
                <a:t>同士の同時性保証は必要ないか検討すること。</a:t>
              </a:r>
              <a:endParaRPr kumimoji="1" lang="en-US" altLang="ja-JP" sz="1200">
                <a:solidFill>
                  <a:sysClr val="windowText" lastClr="000000"/>
                </a:solidFill>
              </a:endParaRPr>
            </a:p>
            <a:p>
              <a:pPr algn="ctr"/>
              <a:r>
                <a:rPr kumimoji="1" lang="ja-JP" altLang="en-US" sz="1200">
                  <a:solidFill>
                    <a:sysClr val="windowText" lastClr="000000"/>
                  </a:solidFill>
                </a:rPr>
                <a:t>同時性保証が必要な場合、マルチコアに対応した割禁処理を設定する必要あり。</a:t>
              </a:r>
              <a:endParaRPr kumimoji="1" lang="en-US" altLang="ja-JP" sz="1200">
                <a:solidFill>
                  <a:sysClr val="windowText" lastClr="000000"/>
                </a:solidFill>
              </a:endParaRPr>
            </a:p>
          </xdr:txBody>
        </xdr:sp>
      </xdr:grpSp>
      <xdr:sp macro="" textlink="">
        <xdr:nvSpPr>
          <xdr:cNvPr id="52" name="正方形/長方形 51">
            <a:extLst>
              <a:ext uri="{FF2B5EF4-FFF2-40B4-BE49-F238E27FC236}">
                <a16:creationId xmlns:a16="http://schemas.microsoft.com/office/drawing/2014/main" id="{00000000-0008-0000-0100-000034000000}"/>
              </a:ext>
            </a:extLst>
          </xdr:cNvPr>
          <xdr:cNvSpPr/>
        </xdr:nvSpPr>
        <xdr:spPr>
          <a:xfrm>
            <a:off x="6324601" y="31584899"/>
            <a:ext cx="1809750" cy="1676401"/>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2000">
                <a:solidFill>
                  <a:sysClr val="windowText" lastClr="000000"/>
                </a:solidFill>
              </a:rPr>
              <a:t>コア</a:t>
            </a:r>
            <a:r>
              <a:rPr kumimoji="1" lang="en-US" altLang="ja-JP" sz="2000">
                <a:solidFill>
                  <a:sysClr val="windowText" lastClr="000000"/>
                </a:solidFill>
              </a:rPr>
              <a:t>1</a:t>
            </a:r>
            <a:endParaRPr kumimoji="1" lang="ja-JP" altLang="en-US" sz="2000">
              <a:solidFill>
                <a:sysClr val="windowText" lastClr="000000"/>
              </a:solidFill>
            </a:endParaRPr>
          </a:p>
        </xdr:txBody>
      </xdr:sp>
      <xdr:sp macro="" textlink="">
        <xdr:nvSpPr>
          <xdr:cNvPr id="53" name="正方形/長方形 52">
            <a:extLst>
              <a:ext uri="{FF2B5EF4-FFF2-40B4-BE49-F238E27FC236}">
                <a16:creationId xmlns:a16="http://schemas.microsoft.com/office/drawing/2014/main" id="{00000000-0008-0000-0100-000035000000}"/>
              </a:ext>
            </a:extLst>
          </xdr:cNvPr>
          <xdr:cNvSpPr/>
        </xdr:nvSpPr>
        <xdr:spPr>
          <a:xfrm>
            <a:off x="8277226" y="31584899"/>
            <a:ext cx="1809750" cy="1676401"/>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2000">
                <a:solidFill>
                  <a:sysClr val="windowText" lastClr="000000"/>
                </a:solidFill>
              </a:rPr>
              <a:t>コア</a:t>
            </a:r>
            <a:r>
              <a:rPr kumimoji="1" lang="en-US" altLang="ja-JP" sz="2000">
                <a:solidFill>
                  <a:sysClr val="windowText" lastClr="000000"/>
                </a:solidFill>
              </a:rPr>
              <a:t>2</a:t>
            </a:r>
            <a:endParaRPr kumimoji="1" lang="ja-JP" altLang="en-US" sz="2000">
              <a:solidFill>
                <a:sysClr val="windowText" lastClr="000000"/>
              </a:solidFill>
            </a:endParaRPr>
          </a:p>
        </xdr:txBody>
      </xdr:sp>
      <xdr:sp macro="" textlink="">
        <xdr:nvSpPr>
          <xdr:cNvPr id="54" name="正方形/長方形 53">
            <a:extLst>
              <a:ext uri="{FF2B5EF4-FFF2-40B4-BE49-F238E27FC236}">
                <a16:creationId xmlns:a16="http://schemas.microsoft.com/office/drawing/2014/main" id="{00000000-0008-0000-0100-000036000000}"/>
              </a:ext>
            </a:extLst>
          </xdr:cNvPr>
          <xdr:cNvSpPr/>
        </xdr:nvSpPr>
        <xdr:spPr>
          <a:xfrm>
            <a:off x="6486526" y="32013524"/>
            <a:ext cx="1476375" cy="1143001"/>
          </a:xfrm>
          <a:prstGeom prst="rect">
            <a:avLst/>
          </a:prstGeom>
          <a:solidFill>
            <a:schemeClr val="accent6">
              <a:lumMod val="60000"/>
              <a:lumOff val="40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2000">
                <a:solidFill>
                  <a:sysClr val="windowText" lastClr="000000"/>
                </a:solidFill>
              </a:rPr>
              <a:t>自部品</a:t>
            </a:r>
          </a:p>
        </xdr:txBody>
      </xdr:sp>
      <xdr:sp macro="" textlink="">
        <xdr:nvSpPr>
          <xdr:cNvPr id="55" name="正方形/長方形 54">
            <a:extLst>
              <a:ext uri="{FF2B5EF4-FFF2-40B4-BE49-F238E27FC236}">
                <a16:creationId xmlns:a16="http://schemas.microsoft.com/office/drawing/2014/main" id="{00000000-0008-0000-0100-000037000000}"/>
              </a:ext>
            </a:extLst>
          </xdr:cNvPr>
          <xdr:cNvSpPr/>
        </xdr:nvSpPr>
        <xdr:spPr>
          <a:xfrm>
            <a:off x="8458201" y="31984949"/>
            <a:ext cx="1476375" cy="1143001"/>
          </a:xfrm>
          <a:prstGeom prst="rect">
            <a:avLst/>
          </a:prstGeom>
          <a:solidFill>
            <a:schemeClr val="accent6">
              <a:lumMod val="60000"/>
              <a:lumOff val="40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2000">
                <a:solidFill>
                  <a:sysClr val="windowText" lastClr="000000"/>
                </a:solidFill>
              </a:rPr>
              <a:t>参照元部品</a:t>
            </a:r>
            <a:endParaRPr kumimoji="1" lang="en-US" altLang="ja-JP" sz="2000">
              <a:solidFill>
                <a:sysClr val="windowText" lastClr="000000"/>
              </a:solidFill>
            </a:endParaRPr>
          </a:p>
          <a:p>
            <a:pPr algn="ctr"/>
            <a:r>
              <a:rPr kumimoji="1" lang="en-US" altLang="ja-JP" sz="2000">
                <a:solidFill>
                  <a:sysClr val="windowText" lastClr="000000"/>
                </a:solidFill>
              </a:rPr>
              <a:t>IF</a:t>
            </a:r>
            <a:r>
              <a:rPr kumimoji="1" lang="ja-JP" altLang="en-US" sz="2000">
                <a:solidFill>
                  <a:sysClr val="windowText" lastClr="000000"/>
                </a:solidFill>
              </a:rPr>
              <a:t>①</a:t>
            </a:r>
            <a:endParaRPr kumimoji="1" lang="en-US" altLang="ja-JP" sz="2000">
              <a:solidFill>
                <a:sysClr val="windowText" lastClr="000000"/>
              </a:solidFill>
            </a:endParaRPr>
          </a:p>
          <a:p>
            <a:pPr algn="ctr"/>
            <a:r>
              <a:rPr kumimoji="1" lang="en-US" altLang="ja-JP" sz="2000">
                <a:solidFill>
                  <a:sysClr val="windowText" lastClr="000000"/>
                </a:solidFill>
              </a:rPr>
              <a:t>IF</a:t>
            </a:r>
            <a:r>
              <a:rPr kumimoji="1" lang="ja-JP" altLang="en-US" sz="2000">
                <a:solidFill>
                  <a:sysClr val="windowText" lastClr="000000"/>
                </a:solidFill>
              </a:rPr>
              <a:t>②</a:t>
            </a:r>
          </a:p>
        </xdr:txBody>
      </xdr:sp>
      <xdr:cxnSp macro="">
        <xdr:nvCxnSpPr>
          <xdr:cNvPr id="56" name="直線矢印コネクタ 55">
            <a:extLst>
              <a:ext uri="{FF2B5EF4-FFF2-40B4-BE49-F238E27FC236}">
                <a16:creationId xmlns:a16="http://schemas.microsoft.com/office/drawing/2014/main" id="{00000000-0008-0000-0100-000038000000}"/>
              </a:ext>
            </a:extLst>
          </xdr:cNvPr>
          <xdr:cNvCxnSpPr/>
        </xdr:nvCxnSpPr>
        <xdr:spPr>
          <a:xfrm flipH="1">
            <a:off x="7607606" y="32546925"/>
            <a:ext cx="1301141" cy="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8" name="直線矢印コネクタ 57">
            <a:extLst>
              <a:ext uri="{FF2B5EF4-FFF2-40B4-BE49-F238E27FC236}">
                <a16:creationId xmlns:a16="http://schemas.microsoft.com/office/drawing/2014/main" id="{00000000-0008-0000-0100-00003A000000}"/>
              </a:ext>
            </a:extLst>
          </xdr:cNvPr>
          <xdr:cNvCxnSpPr/>
        </xdr:nvCxnSpPr>
        <xdr:spPr>
          <a:xfrm flipH="1">
            <a:off x="7598081" y="32842200"/>
            <a:ext cx="1301141" cy="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0" name="直線コネクタ 59">
            <a:extLst>
              <a:ext uri="{FF2B5EF4-FFF2-40B4-BE49-F238E27FC236}">
                <a16:creationId xmlns:a16="http://schemas.microsoft.com/office/drawing/2014/main" id="{00000000-0008-0000-0100-00003C000000}"/>
              </a:ext>
            </a:extLst>
          </xdr:cNvPr>
          <xdr:cNvCxnSpPr/>
        </xdr:nvCxnSpPr>
        <xdr:spPr>
          <a:xfrm>
            <a:off x="10610850" y="31318200"/>
            <a:ext cx="0" cy="34099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67" name="正方形/長方形 66">
            <a:extLst>
              <a:ext uri="{FF2B5EF4-FFF2-40B4-BE49-F238E27FC236}">
                <a16:creationId xmlns:a16="http://schemas.microsoft.com/office/drawing/2014/main" id="{00000000-0008-0000-0100-000043000000}"/>
              </a:ext>
            </a:extLst>
          </xdr:cNvPr>
          <xdr:cNvSpPr/>
        </xdr:nvSpPr>
        <xdr:spPr>
          <a:xfrm>
            <a:off x="11029951" y="31584899"/>
            <a:ext cx="1809750" cy="2619376"/>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2000">
                <a:solidFill>
                  <a:sysClr val="windowText" lastClr="000000"/>
                </a:solidFill>
              </a:rPr>
              <a:t>コア</a:t>
            </a:r>
            <a:r>
              <a:rPr kumimoji="1" lang="en-US" altLang="ja-JP" sz="2000">
                <a:solidFill>
                  <a:sysClr val="windowText" lastClr="000000"/>
                </a:solidFill>
              </a:rPr>
              <a:t>1</a:t>
            </a:r>
            <a:endParaRPr kumimoji="1" lang="ja-JP" altLang="en-US" sz="2000">
              <a:solidFill>
                <a:sysClr val="windowText" lastClr="000000"/>
              </a:solidFill>
            </a:endParaRPr>
          </a:p>
        </xdr:txBody>
      </xdr:sp>
      <xdr:sp macro="" textlink="">
        <xdr:nvSpPr>
          <xdr:cNvPr id="68" name="正方形/長方形 67">
            <a:extLst>
              <a:ext uri="{FF2B5EF4-FFF2-40B4-BE49-F238E27FC236}">
                <a16:creationId xmlns:a16="http://schemas.microsoft.com/office/drawing/2014/main" id="{00000000-0008-0000-0100-000044000000}"/>
              </a:ext>
            </a:extLst>
          </xdr:cNvPr>
          <xdr:cNvSpPr/>
        </xdr:nvSpPr>
        <xdr:spPr>
          <a:xfrm>
            <a:off x="12982576" y="31584899"/>
            <a:ext cx="1809750" cy="1676401"/>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2000">
                <a:solidFill>
                  <a:sysClr val="windowText" lastClr="000000"/>
                </a:solidFill>
              </a:rPr>
              <a:t>コア</a:t>
            </a:r>
            <a:r>
              <a:rPr kumimoji="1" lang="en-US" altLang="ja-JP" sz="2000">
                <a:solidFill>
                  <a:sysClr val="windowText" lastClr="000000"/>
                </a:solidFill>
              </a:rPr>
              <a:t>2</a:t>
            </a:r>
            <a:endParaRPr kumimoji="1" lang="ja-JP" altLang="en-US" sz="2000">
              <a:solidFill>
                <a:sysClr val="windowText" lastClr="000000"/>
              </a:solidFill>
            </a:endParaRPr>
          </a:p>
        </xdr:txBody>
      </xdr:sp>
      <xdr:sp macro="" textlink="">
        <xdr:nvSpPr>
          <xdr:cNvPr id="69" name="正方形/長方形 68">
            <a:extLst>
              <a:ext uri="{FF2B5EF4-FFF2-40B4-BE49-F238E27FC236}">
                <a16:creationId xmlns:a16="http://schemas.microsoft.com/office/drawing/2014/main" id="{00000000-0008-0000-0100-000045000000}"/>
              </a:ext>
            </a:extLst>
          </xdr:cNvPr>
          <xdr:cNvSpPr/>
        </xdr:nvSpPr>
        <xdr:spPr>
          <a:xfrm>
            <a:off x="11191876" y="32013524"/>
            <a:ext cx="1476375" cy="914401"/>
          </a:xfrm>
          <a:prstGeom prst="rect">
            <a:avLst/>
          </a:prstGeom>
          <a:solidFill>
            <a:schemeClr val="accent6">
              <a:lumMod val="60000"/>
              <a:lumOff val="40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1600">
                <a:solidFill>
                  <a:sysClr val="windowText" lastClr="000000"/>
                </a:solidFill>
              </a:rPr>
              <a:t>自部品</a:t>
            </a:r>
          </a:p>
        </xdr:txBody>
      </xdr:sp>
      <xdr:sp macro="" textlink="">
        <xdr:nvSpPr>
          <xdr:cNvPr id="70" name="正方形/長方形 69">
            <a:extLst>
              <a:ext uri="{FF2B5EF4-FFF2-40B4-BE49-F238E27FC236}">
                <a16:creationId xmlns:a16="http://schemas.microsoft.com/office/drawing/2014/main" id="{00000000-0008-0000-0100-000046000000}"/>
              </a:ext>
            </a:extLst>
          </xdr:cNvPr>
          <xdr:cNvSpPr/>
        </xdr:nvSpPr>
        <xdr:spPr>
          <a:xfrm>
            <a:off x="13163551" y="31984949"/>
            <a:ext cx="1476375" cy="914401"/>
          </a:xfrm>
          <a:prstGeom prst="rect">
            <a:avLst/>
          </a:prstGeom>
          <a:solidFill>
            <a:schemeClr val="accent6">
              <a:lumMod val="60000"/>
              <a:lumOff val="40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1600">
                <a:solidFill>
                  <a:sysClr val="windowText" lastClr="000000"/>
                </a:solidFill>
              </a:rPr>
              <a:t>参照元部品②</a:t>
            </a:r>
            <a:endParaRPr kumimoji="1" lang="en-US" altLang="ja-JP" sz="1600">
              <a:solidFill>
                <a:sysClr val="windowText" lastClr="000000"/>
              </a:solidFill>
            </a:endParaRPr>
          </a:p>
          <a:p>
            <a:pPr algn="ctr"/>
            <a:endParaRPr kumimoji="1" lang="en-US" altLang="ja-JP" sz="1600">
              <a:solidFill>
                <a:sysClr val="windowText" lastClr="000000"/>
              </a:solidFill>
            </a:endParaRPr>
          </a:p>
          <a:p>
            <a:pPr algn="ctr"/>
            <a:r>
              <a:rPr kumimoji="1" lang="en-US" altLang="ja-JP" sz="1600">
                <a:solidFill>
                  <a:sysClr val="windowText" lastClr="000000"/>
                </a:solidFill>
              </a:rPr>
              <a:t>IF</a:t>
            </a:r>
            <a:r>
              <a:rPr kumimoji="1" lang="ja-JP" altLang="en-US" sz="1600">
                <a:solidFill>
                  <a:sysClr val="windowText" lastClr="000000"/>
                </a:solidFill>
              </a:rPr>
              <a:t>②</a:t>
            </a:r>
            <a:endParaRPr kumimoji="1" lang="en-US" altLang="ja-JP" sz="1600">
              <a:solidFill>
                <a:sysClr val="windowText" lastClr="000000"/>
              </a:solidFill>
            </a:endParaRPr>
          </a:p>
        </xdr:txBody>
      </xdr:sp>
      <xdr:cxnSp macro="">
        <xdr:nvCxnSpPr>
          <xdr:cNvPr id="71" name="直線矢印コネクタ 70">
            <a:extLst>
              <a:ext uri="{FF2B5EF4-FFF2-40B4-BE49-F238E27FC236}">
                <a16:creationId xmlns:a16="http://schemas.microsoft.com/office/drawing/2014/main" id="{00000000-0008-0000-0100-000047000000}"/>
              </a:ext>
            </a:extLst>
          </xdr:cNvPr>
          <xdr:cNvCxnSpPr/>
        </xdr:nvCxnSpPr>
        <xdr:spPr>
          <a:xfrm flipH="1">
            <a:off x="12312956" y="32680275"/>
            <a:ext cx="1301141" cy="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3" name="正方形/長方形 72">
            <a:extLst>
              <a:ext uri="{FF2B5EF4-FFF2-40B4-BE49-F238E27FC236}">
                <a16:creationId xmlns:a16="http://schemas.microsoft.com/office/drawing/2014/main" id="{00000000-0008-0000-0100-000049000000}"/>
              </a:ext>
            </a:extLst>
          </xdr:cNvPr>
          <xdr:cNvSpPr/>
        </xdr:nvSpPr>
        <xdr:spPr>
          <a:xfrm>
            <a:off x="11191876" y="33118424"/>
            <a:ext cx="1476375" cy="914401"/>
          </a:xfrm>
          <a:prstGeom prst="rect">
            <a:avLst/>
          </a:prstGeom>
          <a:solidFill>
            <a:schemeClr val="accent6">
              <a:lumMod val="60000"/>
              <a:lumOff val="40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kumimoji="1" lang="ja-JP" altLang="en-US" sz="1600">
                <a:solidFill>
                  <a:sysClr val="windowText" lastClr="000000"/>
                </a:solidFill>
              </a:rPr>
              <a:t>参照元部品①</a:t>
            </a:r>
            <a:endParaRPr kumimoji="1" lang="en-US" altLang="ja-JP" sz="1600">
              <a:solidFill>
                <a:sysClr val="windowText" lastClr="000000"/>
              </a:solidFill>
            </a:endParaRPr>
          </a:p>
          <a:p>
            <a:pPr algn="ctr"/>
            <a:endParaRPr kumimoji="1" lang="en-US" altLang="ja-JP" sz="1600">
              <a:solidFill>
                <a:sysClr val="windowText" lastClr="000000"/>
              </a:solidFill>
            </a:endParaRPr>
          </a:p>
          <a:p>
            <a:pPr algn="ctr"/>
            <a:r>
              <a:rPr kumimoji="1" lang="en-US" altLang="ja-JP" sz="1600">
                <a:solidFill>
                  <a:sysClr val="windowText" lastClr="000000"/>
                </a:solidFill>
              </a:rPr>
              <a:t>IF</a:t>
            </a:r>
            <a:r>
              <a:rPr kumimoji="1" lang="ja-JP" altLang="en-US" sz="1600">
                <a:solidFill>
                  <a:sysClr val="windowText" lastClr="000000"/>
                </a:solidFill>
              </a:rPr>
              <a:t>①</a:t>
            </a:r>
            <a:endParaRPr kumimoji="1" lang="en-US" altLang="ja-JP" sz="1600">
              <a:solidFill>
                <a:sysClr val="windowText" lastClr="000000"/>
              </a:solidFill>
            </a:endParaRPr>
          </a:p>
        </xdr:txBody>
      </xdr:sp>
      <xdr:cxnSp macro="">
        <xdr:nvCxnSpPr>
          <xdr:cNvPr id="76" name="直線矢印コネクタ 75">
            <a:extLst>
              <a:ext uri="{FF2B5EF4-FFF2-40B4-BE49-F238E27FC236}">
                <a16:creationId xmlns:a16="http://schemas.microsoft.com/office/drawing/2014/main" id="{00000000-0008-0000-0100-00004C000000}"/>
              </a:ext>
            </a:extLst>
          </xdr:cNvPr>
          <xdr:cNvCxnSpPr/>
        </xdr:nvCxnSpPr>
        <xdr:spPr>
          <a:xfrm flipV="1">
            <a:off x="11915775" y="32785051"/>
            <a:ext cx="0" cy="857249"/>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8" name="正方形/長方形 77">
            <a:extLst>
              <a:ext uri="{FF2B5EF4-FFF2-40B4-BE49-F238E27FC236}">
                <a16:creationId xmlns:a16="http://schemas.microsoft.com/office/drawing/2014/main" id="{00000000-0008-0000-0100-00004E000000}"/>
              </a:ext>
            </a:extLst>
          </xdr:cNvPr>
          <xdr:cNvSpPr/>
        </xdr:nvSpPr>
        <xdr:spPr>
          <a:xfrm>
            <a:off x="12896850" y="33537526"/>
            <a:ext cx="2333626" cy="131445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l"/>
            <a:r>
              <a:rPr kumimoji="1" lang="ja-JP" altLang="en-US" sz="1200">
                <a:solidFill>
                  <a:sysClr val="windowText" lastClr="000000"/>
                </a:solidFill>
              </a:rPr>
              <a:t>複数部品から参照している</a:t>
            </a:r>
            <a:r>
              <a:rPr kumimoji="1" lang="en-US" altLang="ja-JP" sz="1200">
                <a:solidFill>
                  <a:sysClr val="windowText" lastClr="000000"/>
                </a:solidFill>
              </a:rPr>
              <a:t>IF</a:t>
            </a:r>
            <a:r>
              <a:rPr kumimoji="1" lang="ja-JP" altLang="en-US" sz="1200">
                <a:solidFill>
                  <a:sysClr val="windowText" lastClr="000000"/>
                </a:solidFill>
              </a:rPr>
              <a:t>間で</a:t>
            </a:r>
            <a:endParaRPr kumimoji="1" lang="en-US" altLang="ja-JP" sz="1200">
              <a:solidFill>
                <a:sysClr val="windowText" lastClr="000000"/>
              </a:solidFill>
            </a:endParaRPr>
          </a:p>
          <a:p>
            <a:pPr algn="l"/>
            <a:r>
              <a:rPr kumimoji="1" lang="ja-JP" altLang="en-US" sz="1200">
                <a:solidFill>
                  <a:sysClr val="windowText" lastClr="000000"/>
                </a:solidFill>
              </a:rPr>
              <a:t>同時性保証が必要な場合、</a:t>
            </a:r>
            <a:endParaRPr kumimoji="1" lang="en-US" altLang="ja-JP" sz="1200">
              <a:solidFill>
                <a:sysClr val="windowText" lastClr="000000"/>
              </a:solidFill>
            </a:endParaRPr>
          </a:p>
          <a:p>
            <a:pPr algn="l"/>
            <a:r>
              <a:rPr kumimoji="1" lang="ja-JP" altLang="en-US" sz="1200">
                <a:solidFill>
                  <a:sysClr val="windowText" lastClr="000000"/>
                </a:solidFill>
              </a:rPr>
              <a:t>コアまたぎでは</a:t>
            </a:r>
            <a:r>
              <a:rPr kumimoji="1" lang="ja-JP" altLang="en-US" sz="1200" b="1">
                <a:solidFill>
                  <a:sysClr val="windowText" lastClr="000000"/>
                </a:solidFill>
              </a:rPr>
              <a:t>実現不可能</a:t>
            </a:r>
            <a:r>
              <a:rPr kumimoji="1" lang="ja-JP" altLang="en-US" sz="1200" b="0">
                <a:solidFill>
                  <a:sysClr val="windowText" lastClr="000000"/>
                </a:solidFill>
              </a:rPr>
              <a:t>。</a:t>
            </a:r>
            <a:endParaRPr kumimoji="1" lang="en-US" altLang="ja-JP" sz="1200" b="0">
              <a:solidFill>
                <a:sysClr val="windowText" lastClr="000000"/>
              </a:solidFill>
            </a:endParaRPr>
          </a:p>
          <a:p>
            <a:pPr algn="l"/>
            <a:r>
              <a:rPr kumimoji="1" lang="en-US" altLang="ja-JP" sz="1200" b="0">
                <a:solidFill>
                  <a:sysClr val="windowText" lastClr="000000"/>
                </a:solidFill>
              </a:rPr>
              <a:t>mng</a:t>
            </a:r>
            <a:r>
              <a:rPr kumimoji="1" lang="ja-JP" altLang="en-US" sz="1200" b="0">
                <a:solidFill>
                  <a:sysClr val="windowText" lastClr="000000"/>
                </a:solidFill>
              </a:rPr>
              <a:t>部品で部品の処理順を</a:t>
            </a:r>
            <a:endParaRPr kumimoji="1" lang="en-US" altLang="ja-JP" sz="1200" b="0">
              <a:solidFill>
                <a:sysClr val="windowText" lastClr="000000"/>
              </a:solidFill>
            </a:endParaRPr>
          </a:p>
          <a:p>
            <a:pPr algn="l"/>
            <a:r>
              <a:rPr kumimoji="1" lang="ja-JP" altLang="en-US" sz="1200" b="0">
                <a:solidFill>
                  <a:sysClr val="windowText" lastClr="000000"/>
                </a:solidFill>
              </a:rPr>
              <a:t>管理する必要があるため、</a:t>
            </a:r>
            <a:endParaRPr kumimoji="1" lang="en-US" altLang="ja-JP" sz="1200" b="0">
              <a:solidFill>
                <a:sysClr val="windowText" lastClr="000000"/>
              </a:solidFill>
            </a:endParaRPr>
          </a:p>
          <a:p>
            <a:pPr algn="l"/>
            <a:r>
              <a:rPr kumimoji="1" lang="ja-JP" altLang="en-US" sz="1200" b="0">
                <a:solidFill>
                  <a:sysClr val="windowText" lastClr="000000"/>
                </a:solidFill>
              </a:rPr>
              <a:t>同一コアにまとめること。</a:t>
            </a:r>
            <a:endParaRPr kumimoji="1" lang="en-US" altLang="ja-JP" sz="1200" b="0">
              <a:solidFill>
                <a:sysClr val="windowText" lastClr="000000"/>
              </a:solidFill>
            </a:endParaRPr>
          </a:p>
        </xdr:txBody>
      </xdr:sp>
    </xdr:grpSp>
    <xdr:clientData/>
  </xdr:twoCellAnchor>
  <xdr:twoCellAnchor>
    <xdr:from>
      <xdr:col>3</xdr:col>
      <xdr:colOff>2124075</xdr:colOff>
      <xdr:row>144</xdr:row>
      <xdr:rowOff>9525</xdr:rowOff>
    </xdr:from>
    <xdr:to>
      <xdr:col>3</xdr:col>
      <xdr:colOff>2886075</xdr:colOff>
      <xdr:row>148</xdr:row>
      <xdr:rowOff>142875</xdr:rowOff>
    </xdr:to>
    <xdr:sp macro="" textlink="">
      <xdr:nvSpPr>
        <xdr:cNvPr id="81" name="楕円 80">
          <a:extLst>
            <a:ext uri="{FF2B5EF4-FFF2-40B4-BE49-F238E27FC236}">
              <a16:creationId xmlns:a16="http://schemas.microsoft.com/office/drawing/2014/main" id="{00000000-0008-0000-0100-000051000000}"/>
            </a:ext>
          </a:extLst>
        </xdr:cNvPr>
        <xdr:cNvSpPr/>
      </xdr:nvSpPr>
      <xdr:spPr>
        <a:xfrm>
          <a:off x="8810625" y="31803975"/>
          <a:ext cx="762000" cy="81915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l"/>
          <a:endParaRPr kumimoji="1" lang="ja-JP" altLang="en-US" sz="1100">
            <a:solidFill>
              <a:sysClr val="windowText" lastClr="000000"/>
            </a:solidFill>
          </a:endParaRPr>
        </a:p>
      </xdr:txBody>
    </xdr:sp>
    <xdr:clientData/>
  </xdr:twoCellAnchor>
  <xdr:twoCellAnchor>
    <xdr:from>
      <xdr:col>4</xdr:col>
      <xdr:colOff>280923</xdr:colOff>
      <xdr:row>147</xdr:row>
      <xdr:rowOff>151050</xdr:rowOff>
    </xdr:from>
    <xdr:to>
      <xdr:col>4</xdr:col>
      <xdr:colOff>3255768</xdr:colOff>
      <xdr:row>151</xdr:row>
      <xdr:rowOff>71832</xdr:rowOff>
    </xdr:to>
    <xdr:sp macro="" textlink="">
      <xdr:nvSpPr>
        <xdr:cNvPr id="82" name="楕円 81">
          <a:extLst>
            <a:ext uri="{FF2B5EF4-FFF2-40B4-BE49-F238E27FC236}">
              <a16:creationId xmlns:a16="http://schemas.microsoft.com/office/drawing/2014/main" id="{00000000-0008-0000-0100-000052000000}"/>
            </a:ext>
          </a:extLst>
        </xdr:cNvPr>
        <xdr:cNvSpPr/>
      </xdr:nvSpPr>
      <xdr:spPr>
        <a:xfrm rot="3714151">
          <a:off x="12561680" y="31275718"/>
          <a:ext cx="606582" cy="2974845"/>
        </a:xfrm>
        <a:prstGeom prst="ellipse">
          <a:avLst/>
        </a:prstGeom>
        <a:no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l"/>
          <a:endParaRPr kumimoji="1" lang="ja-JP" altLang="en-US" sz="1100">
            <a:solidFill>
              <a:sysClr val="windowText" lastClr="000000"/>
            </a:solidFill>
          </a:endParaRPr>
        </a:p>
      </xdr:txBody>
    </xdr:sp>
    <xdr:clientData/>
  </xdr:twoCellAnchor>
  <xdr:twoCellAnchor>
    <xdr:from>
      <xdr:col>4</xdr:col>
      <xdr:colOff>2181225</xdr:colOff>
      <xdr:row>149</xdr:row>
      <xdr:rowOff>85724</xdr:rowOff>
    </xdr:from>
    <xdr:to>
      <xdr:col>4</xdr:col>
      <xdr:colOff>3752851</xdr:colOff>
      <xdr:row>151</xdr:row>
      <xdr:rowOff>28575</xdr:rowOff>
    </xdr:to>
    <xdr:sp macro="" textlink="">
      <xdr:nvSpPr>
        <xdr:cNvPr id="83" name="正方形/長方形 82">
          <a:extLst>
            <a:ext uri="{FF2B5EF4-FFF2-40B4-BE49-F238E27FC236}">
              <a16:creationId xmlns:a16="http://schemas.microsoft.com/office/drawing/2014/main" id="{00000000-0008-0000-0100-000053000000}"/>
            </a:ext>
          </a:extLst>
        </xdr:cNvPr>
        <xdr:cNvSpPr/>
      </xdr:nvSpPr>
      <xdr:spPr>
        <a:xfrm>
          <a:off x="13277850" y="32737424"/>
          <a:ext cx="1571626" cy="28575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kumimoji="1" lang="ja-JP" altLang="en-US" sz="1200" b="1">
              <a:solidFill>
                <a:srgbClr val="FF0000"/>
              </a:solidFill>
            </a:rPr>
            <a:t>同時性保証できない</a:t>
          </a:r>
          <a:endParaRPr kumimoji="1" lang="en-US" altLang="ja-JP" sz="1200" b="1">
            <a:solidFill>
              <a:srgbClr val="FF0000"/>
            </a:solidFill>
          </a:endParaRPr>
        </a:p>
      </xdr:txBody>
    </xdr:sp>
    <xdr:clientData/>
  </xdr:twoCellAnchor>
  <xdr:oneCellAnchor>
    <xdr:from>
      <xdr:col>1</xdr:col>
      <xdr:colOff>95250</xdr:colOff>
      <xdr:row>11</xdr:row>
      <xdr:rowOff>150158</xdr:rowOff>
    </xdr:from>
    <xdr:ext cx="7379521" cy="2476319"/>
    <xdr:sp macro="" textlink="">
      <xdr:nvSpPr>
        <xdr:cNvPr id="64" name="テキスト ボックス 63">
          <a:extLst>
            <a:ext uri="{FF2B5EF4-FFF2-40B4-BE49-F238E27FC236}">
              <a16:creationId xmlns:a16="http://schemas.microsoft.com/office/drawing/2014/main" id="{00000000-0008-0000-0100-000040000000}"/>
            </a:ext>
          </a:extLst>
        </xdr:cNvPr>
        <xdr:cNvSpPr txBox="1"/>
      </xdr:nvSpPr>
      <xdr:spPr>
        <a:xfrm>
          <a:off x="778809" y="3041276"/>
          <a:ext cx="7379521" cy="24763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ja-JP" altLang="en-US" sz="1100" b="0" i="0">
              <a:solidFill>
                <a:sysClr val="windowText" lastClr="000000"/>
              </a:solidFill>
              <a:effectLst/>
              <a:latin typeface="+mn-lt"/>
              <a:ea typeface="+mn-ea"/>
              <a:cs typeface="+mn-cs"/>
            </a:rPr>
            <a:t>・</a:t>
          </a:r>
          <a:r>
            <a:rPr lang="en-US" altLang="ja-JP" sz="1100" b="0" i="0">
              <a:solidFill>
                <a:sysClr val="windowText" lastClr="000000"/>
              </a:solidFill>
              <a:effectLst/>
              <a:latin typeface="+mn-lt"/>
              <a:ea typeface="+mn-ea"/>
              <a:cs typeface="+mn-cs"/>
            </a:rPr>
            <a:t>CAN</a:t>
          </a:r>
          <a:r>
            <a:rPr lang="ja-JP" altLang="en-US" sz="1100" b="0" i="0">
              <a:solidFill>
                <a:sysClr val="windowText" lastClr="000000"/>
              </a:solidFill>
              <a:effectLst/>
              <a:latin typeface="+mn-lt"/>
              <a:ea typeface="+mn-ea"/>
              <a:cs typeface="+mn-cs"/>
            </a:rPr>
            <a:t>　→　</a:t>
          </a:r>
          <a:r>
            <a:rPr lang="en-US" altLang="ja-JP" sz="1100" b="0" i="0">
              <a:solidFill>
                <a:sysClr val="windowText" lastClr="000000"/>
              </a:solidFill>
              <a:effectLst/>
              <a:latin typeface="+mn-lt"/>
              <a:ea typeface="+mn-ea"/>
              <a:cs typeface="+mn-cs"/>
            </a:rPr>
            <a:t>LAN-DB2</a:t>
          </a:r>
          <a:r>
            <a:rPr lang="ja-JP" altLang="en-US" sz="1100" b="0" i="0">
              <a:solidFill>
                <a:sysClr val="windowText" lastClr="000000"/>
              </a:solidFill>
              <a:effectLst/>
              <a:latin typeface="+mn-lt"/>
              <a:ea typeface="+mn-ea"/>
              <a:cs typeface="+mn-cs"/>
            </a:rPr>
            <a:t>のデータマスターシート（</a:t>
          </a:r>
          <a:r>
            <a:rPr lang="en-US" altLang="ja-JP" sz="1100" b="0" i="0">
              <a:solidFill>
                <a:sysClr val="windowText" lastClr="000000"/>
              </a:solidFill>
              <a:effectLst/>
              <a:latin typeface="+mn-lt"/>
              <a:ea typeface="+mn-ea"/>
              <a:cs typeface="+mn-cs"/>
            </a:rPr>
            <a:t>CAN</a:t>
          </a:r>
          <a:r>
            <a:rPr lang="ja-JP" altLang="en-US" sz="1100" b="0" i="0">
              <a:solidFill>
                <a:sysClr val="windowText" lastClr="000000"/>
              </a:solidFill>
              <a:effectLst/>
              <a:latin typeface="+mn-lt"/>
              <a:ea typeface="+mn-ea"/>
              <a:cs typeface="+mn-cs"/>
            </a:rPr>
            <a:t>信号一つ一つの情報）</a:t>
          </a:r>
        </a:p>
        <a:p>
          <a:r>
            <a:rPr lang="ja-JP" altLang="en-US" sz="1100" b="0" i="0">
              <a:solidFill>
                <a:sysClr val="windowText" lastClr="000000"/>
              </a:solidFill>
              <a:effectLst/>
              <a:latin typeface="+mn-lt"/>
              <a:ea typeface="+mn-ea"/>
              <a:cs typeface="+mn-cs"/>
            </a:rPr>
            <a:t>　</a:t>
          </a:r>
          <a:r>
            <a:rPr lang="en-US" altLang="ja-JP" sz="1100" b="0" i="0">
              <a:solidFill>
                <a:sysClr val="windowText" lastClr="000000"/>
              </a:solidFill>
              <a:effectLst/>
              <a:latin typeface="+mn-lt"/>
              <a:ea typeface="+mn-ea"/>
              <a:cs typeface="+mn-cs"/>
            </a:rPr>
            <a:t>※HEG</a:t>
          </a:r>
          <a:r>
            <a:rPr lang="ja-JP" altLang="en-US" sz="1100" b="0" i="0">
              <a:solidFill>
                <a:sysClr val="windowText" lastClr="000000"/>
              </a:solidFill>
              <a:effectLst/>
              <a:latin typeface="+mn-lt"/>
              <a:ea typeface="+mn-ea"/>
              <a:cs typeface="+mn-cs"/>
            </a:rPr>
            <a:t>⇔</a:t>
          </a:r>
          <a:r>
            <a:rPr lang="en-US" altLang="ja-JP" sz="1100" b="0" i="0">
              <a:solidFill>
                <a:sysClr val="windowText" lastClr="000000"/>
              </a:solidFill>
              <a:effectLst/>
              <a:latin typeface="+mn-lt"/>
              <a:ea typeface="+mn-ea"/>
              <a:cs typeface="+mn-cs"/>
            </a:rPr>
            <a:t>EHV</a:t>
          </a:r>
          <a:r>
            <a:rPr lang="ja-JP" altLang="en-US" sz="1100" b="0" i="0">
              <a:solidFill>
                <a:sysClr val="windowText" lastClr="000000"/>
              </a:solidFill>
              <a:effectLst/>
              <a:latin typeface="+mn-lt"/>
              <a:ea typeface="+mn-ea"/>
              <a:cs typeface="+mn-cs"/>
            </a:rPr>
            <a:t>間の信号は「通信確認シート」で確認すること。場所は</a:t>
          </a:r>
          <a:r>
            <a:rPr lang="en-US" altLang="ja-JP" sz="1100" b="0" i="0">
              <a:solidFill>
                <a:sysClr val="windowText" lastClr="000000"/>
              </a:solidFill>
              <a:effectLst/>
              <a:latin typeface="+mn-lt"/>
              <a:ea typeface="+mn-ea"/>
              <a:cs typeface="+mn-cs"/>
            </a:rPr>
            <a:t>Teams</a:t>
          </a:r>
          <a:r>
            <a:rPr lang="ja-JP" altLang="en-US" sz="1100" b="0" i="0">
              <a:solidFill>
                <a:sysClr val="windowText" lastClr="000000"/>
              </a:solidFill>
              <a:effectLst/>
              <a:latin typeface="+mn-lt"/>
              <a:ea typeface="+mn-ea"/>
              <a:cs typeface="+mn-cs"/>
            </a:rPr>
            <a:t>の「</a:t>
          </a:r>
          <a:r>
            <a:rPr lang="en-US" altLang="ja-JP" sz="1100" b="0" i="0">
              <a:solidFill>
                <a:sysClr val="windowText" lastClr="000000"/>
              </a:solidFill>
              <a:effectLst/>
              <a:latin typeface="+mn-lt"/>
              <a:ea typeface="+mn-ea"/>
              <a:cs typeface="+mn-cs"/>
            </a:rPr>
            <a:t>HEG-EHV</a:t>
          </a:r>
          <a:r>
            <a:rPr lang="ja-JP" altLang="en-US" sz="1100" b="0" i="0">
              <a:solidFill>
                <a:sysClr val="windowText" lastClr="000000"/>
              </a:solidFill>
              <a:effectLst/>
              <a:latin typeface="+mn-lt"/>
              <a:ea typeface="+mn-ea"/>
              <a:cs typeface="+mn-cs"/>
            </a:rPr>
            <a:t>通信確認シート」チャネル参照。</a:t>
          </a:r>
          <a:endParaRPr lang="en-US" altLang="ja-JP" sz="1100" b="0" i="0">
            <a:solidFill>
              <a:sysClr val="windowText" lastClr="000000"/>
            </a:solidFill>
            <a:effectLst/>
            <a:latin typeface="+mn-lt"/>
            <a:ea typeface="+mn-ea"/>
            <a:cs typeface="+mn-cs"/>
          </a:endParaRPr>
        </a:p>
        <a:p>
          <a:r>
            <a:rPr lang="ja-JP" altLang="en-US" sz="1100" b="0" i="0">
              <a:solidFill>
                <a:sysClr val="windowText" lastClr="000000"/>
              </a:solidFill>
              <a:effectLst/>
              <a:latin typeface="+mn-lt"/>
              <a:ea typeface="+mn-ea"/>
              <a:cs typeface="+mn-cs"/>
            </a:rPr>
            <a:t>・</a:t>
          </a:r>
          <a:r>
            <a:rPr lang="en-US" altLang="ja-JP" sz="1100" b="0" i="0">
              <a:solidFill>
                <a:sysClr val="windowText" lastClr="000000"/>
              </a:solidFill>
              <a:effectLst/>
              <a:latin typeface="+mn-lt"/>
              <a:ea typeface="+mn-ea"/>
              <a:cs typeface="+mn-cs"/>
            </a:rPr>
            <a:t>SAC</a:t>
          </a:r>
          <a:r>
            <a:rPr lang="ja-JP" altLang="en-US" sz="1100" b="0" i="0">
              <a:solidFill>
                <a:sysClr val="windowText" lastClr="000000"/>
              </a:solidFill>
              <a:effectLst/>
              <a:latin typeface="+mn-lt"/>
              <a:ea typeface="+mn-ea"/>
              <a:cs typeface="+mn-cs"/>
            </a:rPr>
            <a:t>　→　 </a:t>
          </a:r>
          <a:r>
            <a:rPr lang="en-US" altLang="ja-JP" sz="1100" b="0" i="0">
              <a:solidFill>
                <a:sysClr val="windowText" lastClr="000000"/>
              </a:solidFill>
              <a:effectLst/>
              <a:latin typeface="+mn-lt"/>
              <a:ea typeface="+mn-ea"/>
              <a:cs typeface="+mn-cs"/>
            </a:rPr>
            <a:t>iSpiritWEB</a:t>
          </a:r>
          <a:r>
            <a:rPr lang="ja-JP" altLang="en-US" sz="1100" b="0" i="0">
              <a:solidFill>
                <a:sysClr val="windowText" lastClr="000000"/>
              </a:solidFill>
              <a:effectLst/>
              <a:latin typeface="+mn-lt"/>
              <a:ea typeface="+mn-ea"/>
              <a:cs typeface="+mn-cs"/>
            </a:rPr>
            <a:t>の仕様書</a:t>
          </a:r>
        </a:p>
        <a:p>
          <a:r>
            <a:rPr lang="ja-JP" altLang="en-US" sz="1100" b="0" i="0">
              <a:solidFill>
                <a:sysClr val="windowText" lastClr="000000"/>
              </a:solidFill>
              <a:effectLst/>
              <a:latin typeface="+mn-lt"/>
              <a:ea typeface="+mn-ea"/>
              <a:cs typeface="+mn-cs"/>
            </a:rPr>
            <a:t>　　　　　　　 </a:t>
          </a:r>
          <a:r>
            <a:rPr lang="en-US" altLang="ja-JP" sz="1100" b="0" i="0">
              <a:solidFill>
                <a:sysClr val="windowText" lastClr="000000"/>
              </a:solidFill>
              <a:effectLst/>
              <a:latin typeface="+mn-lt"/>
              <a:ea typeface="+mn-ea"/>
              <a:cs typeface="+mn-cs"/>
            </a:rPr>
            <a:t>14C</a:t>
          </a:r>
          <a:r>
            <a:rPr lang="ja-JP" altLang="en-US" sz="1100" b="0" i="0">
              <a:solidFill>
                <a:sysClr val="windowText" lastClr="000000"/>
              </a:solidFill>
              <a:effectLst/>
              <a:latin typeface="+mn-lt"/>
              <a:ea typeface="+mn-ea"/>
              <a:cs typeface="+mn-cs"/>
            </a:rPr>
            <a:t>：</a:t>
          </a:r>
          <a:r>
            <a:rPr lang="en-US" altLang="ja-JP" sz="1100" b="0" i="0">
              <a:solidFill>
                <a:sysClr val="windowText" lastClr="000000"/>
              </a:solidFill>
              <a:effectLst/>
              <a:latin typeface="+mn-lt"/>
              <a:ea typeface="+mn-ea"/>
              <a:cs typeface="+mn-cs"/>
            </a:rPr>
            <a:t>Repository/WorkSpace/PF/99_from_BBS/</a:t>
          </a:r>
          <a:r>
            <a:rPr lang="ja-JP" altLang="en-US" sz="1100" b="0" i="0">
              <a:solidFill>
                <a:sysClr val="windowText" lastClr="000000"/>
              </a:solidFill>
              <a:effectLst/>
              <a:latin typeface="+mn-lt"/>
              <a:ea typeface="+mn-ea"/>
              <a:cs typeface="+mn-cs"/>
            </a:rPr>
            <a:t>再構築</a:t>
          </a:r>
          <a:r>
            <a:rPr lang="en-US" altLang="ja-JP" sz="1100" b="0" i="0">
              <a:solidFill>
                <a:sysClr val="windowText" lastClr="000000"/>
              </a:solidFill>
              <a:effectLst/>
              <a:latin typeface="+mn-lt"/>
              <a:ea typeface="+mn-ea"/>
              <a:cs typeface="+mn-cs"/>
            </a:rPr>
            <a:t>PF/</a:t>
          </a:r>
          <a:r>
            <a:rPr lang="ja-JP" altLang="en-US" sz="1100" b="0" i="0">
              <a:solidFill>
                <a:sysClr val="windowText" lastClr="000000"/>
              </a:solidFill>
              <a:effectLst/>
              <a:latin typeface="+mn-lt"/>
              <a:ea typeface="+mn-ea"/>
              <a:cs typeface="+mn-cs"/>
            </a:rPr>
            <a:t>コンポーネント</a:t>
          </a:r>
          <a:r>
            <a:rPr lang="en-US" altLang="ja-JP" sz="1100" b="0" i="0">
              <a:solidFill>
                <a:sysClr val="windowText" lastClr="000000"/>
              </a:solidFill>
              <a:effectLst/>
              <a:latin typeface="+mn-lt"/>
              <a:ea typeface="+mn-ea"/>
              <a:cs typeface="+mn-cs"/>
            </a:rPr>
            <a:t>/SAC</a:t>
          </a:r>
        </a:p>
        <a:p>
          <a:r>
            <a:rPr lang="ja-JP" altLang="en-US" sz="1100" b="0" i="0">
              <a:solidFill>
                <a:sysClr val="windowText" lastClr="000000"/>
              </a:solidFill>
              <a:effectLst/>
              <a:latin typeface="+mn-lt"/>
              <a:ea typeface="+mn-ea"/>
              <a:cs typeface="+mn-cs"/>
            </a:rPr>
            <a:t>　　　　　　　 </a:t>
          </a:r>
          <a:r>
            <a:rPr lang="en-US" altLang="ja-JP" sz="1100" b="0" i="0">
              <a:solidFill>
                <a:sysClr val="windowText" lastClr="000000"/>
              </a:solidFill>
              <a:effectLst/>
              <a:latin typeface="+mn-lt"/>
              <a:ea typeface="+mn-ea"/>
              <a:cs typeface="+mn-cs"/>
            </a:rPr>
            <a:t>17C</a:t>
          </a:r>
          <a:r>
            <a:rPr lang="ja-JP" altLang="en-US" sz="1100" b="0" i="0">
              <a:solidFill>
                <a:sysClr val="windowText" lastClr="000000"/>
              </a:solidFill>
              <a:effectLst/>
              <a:latin typeface="+mn-lt"/>
              <a:ea typeface="+mn-ea"/>
              <a:cs typeface="+mn-cs"/>
            </a:rPr>
            <a:t>：</a:t>
          </a:r>
          <a:r>
            <a:rPr lang="en-US" altLang="ja-JP" sz="1100" b="0" i="0">
              <a:solidFill>
                <a:sysClr val="windowText" lastClr="000000"/>
              </a:solidFill>
              <a:effectLst/>
              <a:latin typeface="+mn-lt"/>
              <a:ea typeface="+mn-ea"/>
              <a:cs typeface="+mn-cs"/>
            </a:rPr>
            <a:t>Repository/WorkSpace/PF/99_from_BBS/TNGAPF/</a:t>
          </a:r>
          <a:r>
            <a:rPr lang="ja-JP" altLang="en-US" sz="1100" b="0" i="0">
              <a:solidFill>
                <a:sysClr val="windowText" lastClr="000000"/>
              </a:solidFill>
              <a:effectLst/>
              <a:latin typeface="+mn-lt"/>
              <a:ea typeface="+mn-ea"/>
              <a:cs typeface="+mn-cs"/>
            </a:rPr>
            <a:t>ガソリン</a:t>
          </a:r>
          <a:r>
            <a:rPr lang="en-US" altLang="ja-JP" sz="1100" b="0" i="0">
              <a:solidFill>
                <a:sysClr val="windowText" lastClr="000000"/>
              </a:solidFill>
              <a:effectLst/>
              <a:latin typeface="+mn-lt"/>
              <a:ea typeface="+mn-ea"/>
              <a:cs typeface="+mn-cs"/>
            </a:rPr>
            <a:t>/</a:t>
          </a:r>
          <a:r>
            <a:rPr lang="ja-JP" altLang="en-US" sz="1100" b="0" i="0">
              <a:solidFill>
                <a:sysClr val="windowText" lastClr="000000"/>
              </a:solidFill>
              <a:effectLst/>
              <a:latin typeface="+mn-lt"/>
              <a:ea typeface="+mn-ea"/>
              <a:cs typeface="+mn-cs"/>
            </a:rPr>
            <a:t>コンポーネント</a:t>
          </a:r>
          <a:r>
            <a:rPr lang="en-US" altLang="ja-JP" sz="1100" b="0" i="0">
              <a:solidFill>
                <a:sysClr val="windowText" lastClr="000000"/>
              </a:solidFill>
              <a:effectLst/>
              <a:latin typeface="+mn-lt"/>
              <a:ea typeface="+mn-ea"/>
              <a:cs typeface="+mn-cs"/>
            </a:rPr>
            <a:t>/SAC</a:t>
          </a:r>
        </a:p>
        <a:p>
          <a:r>
            <a:rPr lang="ja-JP" altLang="en-US" sz="1100" b="0" i="0">
              <a:solidFill>
                <a:sysClr val="windowText" lastClr="000000"/>
              </a:solidFill>
              <a:effectLst/>
              <a:latin typeface="+mn-lt"/>
              <a:ea typeface="+mn-ea"/>
              <a:cs typeface="+mn-cs"/>
            </a:rPr>
            <a:t>・</a:t>
          </a:r>
          <a:r>
            <a:rPr lang="en-US" altLang="ja-JP" sz="1100" b="0" i="0">
              <a:solidFill>
                <a:sysClr val="windowText" lastClr="000000"/>
              </a:solidFill>
              <a:effectLst/>
              <a:latin typeface="+mn-lt"/>
              <a:ea typeface="+mn-ea"/>
              <a:cs typeface="+mn-cs"/>
            </a:rPr>
            <a:t>DIAG</a:t>
          </a:r>
          <a:r>
            <a:rPr lang="ja-JP" altLang="en-US" sz="1100" b="0" i="0">
              <a:solidFill>
                <a:sysClr val="windowText" lastClr="000000"/>
              </a:solidFill>
              <a:effectLst/>
              <a:latin typeface="+mn-lt"/>
              <a:ea typeface="+mn-ea"/>
              <a:cs typeface="+mn-cs"/>
            </a:rPr>
            <a:t>　→　</a:t>
          </a:r>
          <a:r>
            <a:rPr lang="en-US" altLang="ja-JP" sz="1100" b="0" i="0">
              <a:solidFill>
                <a:sysClr val="windowText" lastClr="000000"/>
              </a:solidFill>
              <a:effectLst/>
              <a:latin typeface="+mn-lt"/>
              <a:ea typeface="+mn-ea"/>
              <a:cs typeface="+mn-cs"/>
            </a:rPr>
            <a:t>iSpiritWEB</a:t>
          </a:r>
          <a:r>
            <a:rPr lang="ja-JP" altLang="en-US" sz="1100" b="0" i="0">
              <a:solidFill>
                <a:sysClr val="windowText" lastClr="000000"/>
              </a:solidFill>
              <a:effectLst/>
              <a:latin typeface="+mn-lt"/>
              <a:ea typeface="+mn-ea"/>
              <a:cs typeface="+mn-cs"/>
            </a:rPr>
            <a:t>の仕様書</a:t>
          </a:r>
          <a:endParaRPr lang="en-US" altLang="ja-JP" sz="1100" b="0" i="0">
            <a:solidFill>
              <a:sysClr val="windowText" lastClr="000000"/>
            </a:solidFill>
            <a:effectLst/>
            <a:latin typeface="+mn-lt"/>
            <a:ea typeface="+mn-ea"/>
            <a:cs typeface="+mn-cs"/>
          </a:endParaRPr>
        </a:p>
        <a:p>
          <a:r>
            <a:rPr lang="ja-JP" altLang="en-US" sz="1100" b="0" i="0">
              <a:solidFill>
                <a:sysClr val="windowText" lastClr="000000"/>
              </a:solidFill>
              <a:effectLst/>
              <a:latin typeface="+mn-lt"/>
              <a:ea typeface="+mn-ea"/>
              <a:cs typeface="+mn-cs"/>
            </a:rPr>
            <a:t>　　　　　　　  </a:t>
          </a:r>
          <a:r>
            <a:rPr lang="en-US" altLang="ja-JP" sz="1100" b="0" i="0">
              <a:solidFill>
                <a:sysClr val="windowText" lastClr="000000"/>
              </a:solidFill>
              <a:effectLst/>
              <a:latin typeface="+mn-lt"/>
              <a:ea typeface="+mn-ea"/>
              <a:cs typeface="+mn-cs"/>
            </a:rPr>
            <a:t>Phase5</a:t>
          </a:r>
          <a:r>
            <a:rPr lang="ja-JP" altLang="en-US" sz="1100" b="0" i="0">
              <a:solidFill>
                <a:sysClr val="windowText" lastClr="000000"/>
              </a:solidFill>
              <a:effectLst/>
              <a:latin typeface="+mn-lt"/>
              <a:ea typeface="+mn-ea"/>
              <a:cs typeface="+mn-cs"/>
            </a:rPr>
            <a:t>（エンジンだと</a:t>
          </a:r>
          <a:r>
            <a:rPr lang="en-US" altLang="ja-JP" sz="1100" b="0" i="0">
              <a:solidFill>
                <a:sysClr val="windowText" lastClr="000000"/>
              </a:solidFill>
              <a:effectLst/>
              <a:latin typeface="+mn-lt"/>
              <a:ea typeface="+mn-ea"/>
              <a:cs typeface="+mn-cs"/>
            </a:rPr>
            <a:t>14C</a:t>
          </a:r>
          <a:r>
            <a:rPr lang="ja-JP" altLang="en-US" sz="1100" b="0" i="0">
              <a:solidFill>
                <a:sysClr val="windowText" lastClr="000000"/>
              </a:solidFill>
              <a:effectLst/>
              <a:latin typeface="+mn-lt"/>
              <a:ea typeface="+mn-ea"/>
              <a:cs typeface="+mn-cs"/>
            </a:rPr>
            <a:t>以降）：</a:t>
          </a:r>
          <a:r>
            <a:rPr lang="en-US" altLang="ja-JP" sz="1100" b="0" i="0">
              <a:solidFill>
                <a:sysClr val="windowText" lastClr="000000"/>
              </a:solidFill>
              <a:effectLst/>
              <a:latin typeface="+mn-lt"/>
              <a:ea typeface="+mn-ea"/>
              <a:cs typeface="+mn-cs"/>
            </a:rPr>
            <a:t>Repository/Electronics_Spec/DIAG[</a:t>
          </a:r>
          <a:r>
            <a:rPr lang="ja-JP" altLang="en-US" sz="1100" b="0" i="0">
              <a:solidFill>
                <a:sysClr val="windowText" lastClr="000000"/>
              </a:solidFill>
              <a:effectLst/>
              <a:latin typeface="+mn-lt"/>
              <a:ea typeface="+mn-ea"/>
              <a:cs typeface="+mn-cs"/>
            </a:rPr>
            <a:t>ダイアグ</a:t>
          </a:r>
          <a:r>
            <a:rPr lang="en-US" altLang="ja-JP" sz="1100" b="0" i="0">
              <a:solidFill>
                <a:sysClr val="windowText" lastClr="000000"/>
              </a:solidFill>
              <a:effectLst/>
              <a:latin typeface="+mn-lt"/>
              <a:ea typeface="+mn-ea"/>
              <a:cs typeface="+mn-cs"/>
            </a:rPr>
            <a:t>]/Standard[</a:t>
          </a:r>
          <a:r>
            <a:rPr lang="ja-JP" altLang="en-US" sz="1100" b="0" i="0">
              <a:solidFill>
                <a:sysClr val="windowText" lastClr="000000"/>
              </a:solidFill>
              <a:effectLst/>
              <a:latin typeface="+mn-lt"/>
              <a:ea typeface="+mn-ea"/>
              <a:cs typeface="+mn-cs"/>
            </a:rPr>
            <a:t>標準</a:t>
          </a:r>
          <a:r>
            <a:rPr lang="en-US" altLang="ja-JP" sz="1100" b="0" i="0">
              <a:solidFill>
                <a:sysClr val="windowText" lastClr="000000"/>
              </a:solidFill>
              <a:effectLst/>
              <a:latin typeface="+mn-lt"/>
              <a:ea typeface="+mn-ea"/>
              <a:cs typeface="+mn-cs"/>
            </a:rPr>
            <a:t>]/Phase5/</a:t>
          </a:r>
          <a:r>
            <a:rPr lang="ja-JP" altLang="en-US" sz="1100" b="0" i="0">
              <a:solidFill>
                <a:sysClr val="windowText" lastClr="000000"/>
              </a:solidFill>
              <a:effectLst/>
              <a:latin typeface="+mn-lt"/>
              <a:ea typeface="+mn-ea"/>
              <a:cs typeface="+mn-cs"/>
            </a:rPr>
            <a:t>仕様書</a:t>
          </a:r>
        </a:p>
        <a:p>
          <a:r>
            <a:rPr lang="ja-JP" altLang="en-US" sz="1100" b="0" i="0">
              <a:solidFill>
                <a:sysClr val="windowText" lastClr="000000"/>
              </a:solidFill>
              <a:effectLst/>
              <a:latin typeface="+mn-lt"/>
              <a:ea typeface="+mn-ea"/>
              <a:cs typeface="+mn-cs"/>
            </a:rPr>
            <a:t>　　　　　　　  </a:t>
          </a:r>
          <a:r>
            <a:rPr lang="en-US" altLang="ja-JP" sz="1100" b="0" i="0">
              <a:solidFill>
                <a:sysClr val="windowText" lastClr="000000"/>
              </a:solidFill>
              <a:effectLst/>
              <a:latin typeface="+mn-lt"/>
              <a:ea typeface="+mn-ea"/>
              <a:cs typeface="+mn-cs"/>
            </a:rPr>
            <a:t>Phase4</a:t>
          </a:r>
          <a:r>
            <a:rPr lang="ja-JP" altLang="en-US" sz="1100" b="0" i="0">
              <a:solidFill>
                <a:sysClr val="windowText" lastClr="000000"/>
              </a:solidFill>
              <a:effectLst/>
              <a:latin typeface="+mn-lt"/>
              <a:ea typeface="+mn-ea"/>
              <a:cs typeface="+mn-cs"/>
            </a:rPr>
            <a:t>（エンジンだと</a:t>
          </a:r>
          <a:r>
            <a:rPr lang="en-US" altLang="ja-JP" sz="1100" b="0" i="0">
              <a:solidFill>
                <a:sysClr val="windowText" lastClr="000000"/>
              </a:solidFill>
              <a:effectLst/>
              <a:latin typeface="+mn-lt"/>
              <a:ea typeface="+mn-ea"/>
              <a:cs typeface="+mn-cs"/>
            </a:rPr>
            <a:t>09C</a:t>
          </a:r>
          <a:r>
            <a:rPr lang="ja-JP" altLang="en-US" sz="1100" b="0" i="0">
              <a:solidFill>
                <a:sysClr val="windowText" lastClr="000000"/>
              </a:solidFill>
              <a:effectLst/>
              <a:latin typeface="+mn-lt"/>
              <a:ea typeface="+mn-ea"/>
              <a:cs typeface="+mn-cs"/>
            </a:rPr>
            <a:t>以前）：</a:t>
          </a:r>
          <a:r>
            <a:rPr lang="en-US" altLang="ja-JP" sz="1100" b="0" i="0">
              <a:solidFill>
                <a:sysClr val="windowText" lastClr="000000"/>
              </a:solidFill>
              <a:effectLst/>
              <a:latin typeface="+mn-lt"/>
              <a:ea typeface="+mn-ea"/>
              <a:cs typeface="+mn-cs"/>
            </a:rPr>
            <a:t>Repository/Electronics_Spec/DIAG[</a:t>
          </a:r>
          <a:r>
            <a:rPr lang="ja-JP" altLang="en-US" sz="1100" b="0" i="0">
              <a:solidFill>
                <a:sysClr val="windowText" lastClr="000000"/>
              </a:solidFill>
              <a:effectLst/>
              <a:latin typeface="+mn-lt"/>
              <a:ea typeface="+mn-ea"/>
              <a:cs typeface="+mn-cs"/>
            </a:rPr>
            <a:t>ダイアグ</a:t>
          </a:r>
          <a:r>
            <a:rPr lang="en-US" altLang="ja-JP" sz="1100" b="0" i="0">
              <a:solidFill>
                <a:sysClr val="windowText" lastClr="000000"/>
              </a:solidFill>
              <a:effectLst/>
              <a:latin typeface="+mn-lt"/>
              <a:ea typeface="+mn-ea"/>
              <a:cs typeface="+mn-cs"/>
            </a:rPr>
            <a:t>]/Standard[</a:t>
          </a:r>
          <a:r>
            <a:rPr lang="ja-JP" altLang="en-US" sz="1100" b="0" i="0">
              <a:solidFill>
                <a:sysClr val="windowText" lastClr="000000"/>
              </a:solidFill>
              <a:effectLst/>
              <a:latin typeface="+mn-lt"/>
              <a:ea typeface="+mn-ea"/>
              <a:cs typeface="+mn-cs"/>
            </a:rPr>
            <a:t>標準</a:t>
          </a:r>
          <a:r>
            <a:rPr lang="en-US" altLang="ja-JP" sz="1100" b="0" i="0">
              <a:solidFill>
                <a:sysClr val="windowText" lastClr="000000"/>
              </a:solidFill>
              <a:effectLst/>
              <a:latin typeface="+mn-lt"/>
              <a:ea typeface="+mn-ea"/>
              <a:cs typeface="+mn-cs"/>
            </a:rPr>
            <a:t>]/Phase4/</a:t>
          </a:r>
          <a:r>
            <a:rPr lang="ja-JP" altLang="en-US" sz="1100" b="0" i="0">
              <a:solidFill>
                <a:sysClr val="windowText" lastClr="000000"/>
              </a:solidFill>
              <a:effectLst/>
              <a:latin typeface="+mn-lt"/>
              <a:ea typeface="+mn-ea"/>
              <a:cs typeface="+mn-cs"/>
            </a:rPr>
            <a:t>仕様書</a:t>
          </a:r>
        </a:p>
        <a:p>
          <a:r>
            <a:rPr lang="ja-JP" altLang="en-US" sz="1100" b="0" i="0">
              <a:solidFill>
                <a:sysClr val="windowText" lastClr="000000"/>
              </a:solidFill>
              <a:effectLst/>
              <a:latin typeface="+mn-lt"/>
              <a:ea typeface="+mn-ea"/>
              <a:cs typeface="+mn-cs"/>
            </a:rPr>
            <a:t>・</a:t>
          </a:r>
          <a:r>
            <a:rPr lang="en-US" altLang="ja-JP" sz="1100" b="0" i="0">
              <a:solidFill>
                <a:sysClr val="windowText" lastClr="000000"/>
              </a:solidFill>
              <a:effectLst/>
              <a:latin typeface="+mn-lt"/>
              <a:ea typeface="+mn-ea"/>
              <a:cs typeface="+mn-cs"/>
            </a:rPr>
            <a:t>YSOC</a:t>
          </a:r>
          <a:r>
            <a:rPr lang="ja-JP" altLang="en-US" sz="1100" b="0" i="0">
              <a:solidFill>
                <a:sysClr val="windowText" lastClr="000000"/>
              </a:solidFill>
              <a:effectLst/>
              <a:latin typeface="+mn-lt"/>
              <a:ea typeface="+mn-ea"/>
              <a:cs typeface="+mn-cs"/>
            </a:rPr>
            <a:t>　→　コンベ：</a:t>
          </a:r>
          <a:r>
            <a:rPr lang="en-US" altLang="ja-JP" sz="1100" b="0" i="0">
              <a:solidFill>
                <a:sysClr val="windowText" lastClr="000000"/>
              </a:solidFill>
              <a:effectLst/>
              <a:latin typeface="+mn-lt"/>
              <a:ea typeface="+mn-ea"/>
              <a:cs typeface="+mn-cs"/>
            </a:rPr>
            <a:t>Project/EM/EMB/</a:t>
          </a:r>
          <a:r>
            <a:rPr lang="ja-JP" altLang="en-US" sz="1100" b="0" i="0">
              <a:solidFill>
                <a:sysClr val="windowText" lastClr="000000"/>
              </a:solidFill>
              <a:effectLst/>
              <a:latin typeface="+mn-lt"/>
              <a:ea typeface="+mn-ea"/>
              <a:cs typeface="+mn-cs"/>
            </a:rPr>
            <a:t>充電制御</a:t>
          </a:r>
          <a:r>
            <a:rPr lang="en-US" altLang="ja-JP" sz="1100" b="0" i="0">
              <a:solidFill>
                <a:sysClr val="windowText" lastClr="000000"/>
              </a:solidFill>
              <a:effectLst/>
              <a:latin typeface="+mn-lt"/>
              <a:ea typeface="+mn-ea"/>
              <a:cs typeface="+mn-cs"/>
            </a:rPr>
            <a:t>/</a:t>
          </a:r>
          <a:r>
            <a:rPr lang="ja-JP" altLang="en-US" sz="1100" b="0" i="0">
              <a:solidFill>
                <a:sysClr val="windowText" lastClr="000000"/>
              </a:solidFill>
              <a:effectLst/>
              <a:latin typeface="+mn-lt"/>
              <a:ea typeface="+mn-ea"/>
              <a:cs typeface="+mn-cs"/>
            </a:rPr>
            <a:t>標準</a:t>
          </a:r>
          <a:r>
            <a:rPr lang="en-US" altLang="ja-JP" sz="1100" b="0" i="0">
              <a:solidFill>
                <a:sysClr val="windowText" lastClr="000000"/>
              </a:solidFill>
              <a:effectLst/>
              <a:latin typeface="+mn-lt"/>
              <a:ea typeface="+mn-ea"/>
              <a:cs typeface="+mn-cs"/>
            </a:rPr>
            <a:t>/</a:t>
          </a:r>
          <a:r>
            <a:rPr lang="ja-JP" altLang="en-US" sz="1100" b="0" i="0">
              <a:solidFill>
                <a:sysClr val="windowText" lastClr="000000"/>
              </a:solidFill>
              <a:effectLst/>
              <a:latin typeface="+mn-lt"/>
              <a:ea typeface="+mn-ea"/>
              <a:cs typeface="+mn-cs"/>
            </a:rPr>
            <a:t>充電制御標準</a:t>
          </a:r>
          <a:r>
            <a:rPr lang="en-US" altLang="ja-JP" sz="1100" b="0" i="0">
              <a:solidFill>
                <a:sysClr val="windowText" lastClr="000000"/>
              </a:solidFill>
              <a:effectLst/>
              <a:latin typeface="+mn-lt"/>
              <a:ea typeface="+mn-ea"/>
              <a:cs typeface="+mn-cs"/>
            </a:rPr>
            <a:t>/</a:t>
          </a:r>
          <a:r>
            <a:rPr lang="ja-JP" altLang="en-US" sz="1100" b="0" i="0">
              <a:solidFill>
                <a:sysClr val="windowText" lastClr="000000"/>
              </a:solidFill>
              <a:effectLst/>
              <a:latin typeface="+mn-lt"/>
              <a:ea typeface="+mn-ea"/>
              <a:cs typeface="+mn-cs"/>
            </a:rPr>
            <a:t>標準部品庫</a:t>
          </a:r>
        </a:p>
        <a:p>
          <a:r>
            <a:rPr lang="ja-JP" altLang="en-US" sz="1100" b="0" i="0">
              <a:solidFill>
                <a:sysClr val="windowText" lastClr="000000"/>
              </a:solidFill>
              <a:effectLst/>
              <a:latin typeface="+mn-lt"/>
              <a:ea typeface="+mn-ea"/>
              <a:cs typeface="+mn-cs"/>
            </a:rPr>
            <a:t>　　　　　　</a:t>
          </a:r>
          <a:r>
            <a:rPr lang="en-US" altLang="ja-JP" sz="1100" b="0" i="0">
              <a:solidFill>
                <a:sysClr val="windowText" lastClr="000000"/>
              </a:solidFill>
              <a:effectLst/>
              <a:latin typeface="+mn-lt"/>
              <a:ea typeface="+mn-ea"/>
              <a:cs typeface="+mn-cs"/>
            </a:rPr>
            <a:t>HEV</a:t>
          </a:r>
          <a:r>
            <a:rPr lang="ja-JP" altLang="en-US" sz="1100" b="0" i="0">
              <a:solidFill>
                <a:sysClr val="windowText" lastClr="000000"/>
              </a:solidFill>
              <a:effectLst/>
              <a:latin typeface="+mn-lt"/>
              <a:ea typeface="+mn-ea"/>
              <a:cs typeface="+mn-cs"/>
            </a:rPr>
            <a:t>：</a:t>
          </a:r>
          <a:r>
            <a:rPr lang="en-US" altLang="ja-JP" sz="1100" b="0" i="0">
              <a:solidFill>
                <a:sysClr val="windowText" lastClr="000000"/>
              </a:solidFill>
              <a:effectLst/>
              <a:latin typeface="+mn-lt"/>
              <a:ea typeface="+mn-ea"/>
              <a:cs typeface="+mn-cs"/>
            </a:rPr>
            <a:t>Project/EM/EMB/HV</a:t>
          </a:r>
          <a:r>
            <a:rPr lang="ja-JP" altLang="en-US" sz="1100" b="0" i="0">
              <a:solidFill>
                <a:sysClr val="windowText" lastClr="000000"/>
              </a:solidFill>
              <a:effectLst/>
              <a:latin typeface="+mn-lt"/>
              <a:ea typeface="+mn-ea"/>
              <a:cs typeface="+mn-cs"/>
            </a:rPr>
            <a:t>補機電力削減制御</a:t>
          </a:r>
          <a:r>
            <a:rPr lang="en-US" altLang="ja-JP" sz="1100" b="0" i="0">
              <a:solidFill>
                <a:sysClr val="windowText" lastClr="000000"/>
              </a:solidFill>
              <a:effectLst/>
              <a:latin typeface="+mn-lt"/>
              <a:ea typeface="+mn-ea"/>
              <a:cs typeface="+mn-cs"/>
            </a:rPr>
            <a:t>/</a:t>
          </a:r>
          <a:r>
            <a:rPr lang="ja-JP" altLang="en-US" sz="1100" b="0" i="0">
              <a:solidFill>
                <a:sysClr val="windowText" lastClr="000000"/>
              </a:solidFill>
              <a:effectLst/>
              <a:latin typeface="+mn-lt"/>
              <a:ea typeface="+mn-ea"/>
              <a:cs typeface="+mn-cs"/>
            </a:rPr>
            <a:t>標準</a:t>
          </a:r>
        </a:p>
        <a:p>
          <a:r>
            <a:rPr lang="ja-JP" altLang="en-US" sz="1100" b="0" i="0">
              <a:solidFill>
                <a:sysClr val="windowText" lastClr="000000"/>
              </a:solidFill>
              <a:effectLst/>
              <a:latin typeface="+mn-lt"/>
              <a:ea typeface="+mn-ea"/>
              <a:cs typeface="+mn-cs"/>
            </a:rPr>
            <a:t>・</a:t>
          </a:r>
          <a:r>
            <a:rPr lang="en-US" altLang="ja-JP" sz="1100" b="0" i="0">
              <a:solidFill>
                <a:sysClr val="windowText" lastClr="000000"/>
              </a:solidFill>
              <a:effectLst/>
              <a:latin typeface="+mn-lt"/>
              <a:ea typeface="+mn-ea"/>
              <a:cs typeface="+mn-cs"/>
            </a:rPr>
            <a:t>S&amp;S(ECO-ECU)</a:t>
          </a:r>
          <a:r>
            <a:rPr lang="ja-JP" altLang="en-US" sz="1100" b="0" i="0">
              <a:solidFill>
                <a:sysClr val="windowText" lastClr="000000"/>
              </a:solidFill>
              <a:effectLst/>
              <a:latin typeface="+mn-lt"/>
              <a:ea typeface="+mn-ea"/>
              <a:cs typeface="+mn-cs"/>
            </a:rPr>
            <a:t>　→　</a:t>
          </a:r>
          <a:r>
            <a:rPr lang="en-US" altLang="ja-JP" sz="1100" b="0" i="0">
              <a:solidFill>
                <a:sysClr val="windowText" lastClr="000000"/>
              </a:solidFill>
              <a:effectLst/>
              <a:latin typeface="+mn-lt"/>
              <a:ea typeface="+mn-ea"/>
              <a:cs typeface="+mn-cs"/>
            </a:rPr>
            <a:t>Project/EM/EMB/S</a:t>
          </a:r>
          <a:r>
            <a:rPr lang="ja-JP" altLang="en-US" sz="1100" b="0" i="0">
              <a:solidFill>
                <a:sysClr val="windowText" lastClr="000000"/>
              </a:solidFill>
              <a:effectLst/>
              <a:latin typeface="+mn-lt"/>
              <a:ea typeface="+mn-ea"/>
              <a:cs typeface="+mn-cs"/>
            </a:rPr>
            <a:t>＆</a:t>
          </a:r>
          <a:r>
            <a:rPr lang="en-US" altLang="ja-JP" sz="1100" b="0" i="0">
              <a:solidFill>
                <a:sysClr val="windowText" lastClr="000000"/>
              </a:solidFill>
              <a:effectLst/>
              <a:latin typeface="+mn-lt"/>
              <a:ea typeface="+mn-ea"/>
              <a:cs typeface="+mn-cs"/>
            </a:rPr>
            <a:t>S</a:t>
          </a:r>
          <a:r>
            <a:rPr lang="ja-JP" altLang="en-US" sz="1100" b="0" i="0">
              <a:solidFill>
                <a:sysClr val="windowText" lastClr="000000"/>
              </a:solidFill>
              <a:effectLst/>
              <a:latin typeface="+mn-lt"/>
              <a:ea typeface="+mn-ea"/>
              <a:cs typeface="+mn-cs"/>
            </a:rPr>
            <a:t>制御</a:t>
          </a:r>
          <a:r>
            <a:rPr lang="en-US" altLang="ja-JP" sz="1100" b="0" i="0">
              <a:solidFill>
                <a:sysClr val="windowText" lastClr="000000"/>
              </a:solidFill>
              <a:effectLst/>
              <a:latin typeface="+mn-lt"/>
              <a:ea typeface="+mn-ea"/>
              <a:cs typeface="+mn-cs"/>
            </a:rPr>
            <a:t>/</a:t>
          </a:r>
          <a:r>
            <a:rPr lang="ja-JP" altLang="en-US" sz="1100" b="0" i="0">
              <a:solidFill>
                <a:sysClr val="windowText" lastClr="000000"/>
              </a:solidFill>
              <a:effectLst/>
              <a:latin typeface="+mn-lt"/>
              <a:ea typeface="+mn-ea"/>
              <a:cs typeface="+mn-cs"/>
            </a:rPr>
            <a:t>標準</a:t>
          </a:r>
          <a:r>
            <a:rPr lang="en-US" altLang="ja-JP" sz="1100" b="0" i="0">
              <a:solidFill>
                <a:sysClr val="windowText" lastClr="000000"/>
              </a:solidFill>
              <a:effectLst/>
              <a:latin typeface="+mn-lt"/>
              <a:ea typeface="+mn-ea"/>
              <a:cs typeface="+mn-cs"/>
            </a:rPr>
            <a:t>/S</a:t>
          </a:r>
          <a:r>
            <a:rPr lang="ja-JP" altLang="en-US" sz="1100" b="0" i="0">
              <a:solidFill>
                <a:sysClr val="windowText" lastClr="000000"/>
              </a:solidFill>
              <a:effectLst/>
              <a:latin typeface="+mn-lt"/>
              <a:ea typeface="+mn-ea"/>
              <a:cs typeface="+mn-cs"/>
            </a:rPr>
            <a:t>＆</a:t>
          </a:r>
          <a:r>
            <a:rPr lang="en-US" altLang="ja-JP" sz="1100" b="0" i="0">
              <a:solidFill>
                <a:sysClr val="windowText" lastClr="000000"/>
              </a:solidFill>
              <a:effectLst/>
              <a:latin typeface="+mn-lt"/>
              <a:ea typeface="+mn-ea"/>
              <a:cs typeface="+mn-cs"/>
            </a:rPr>
            <a:t>S</a:t>
          </a:r>
          <a:r>
            <a:rPr lang="ja-JP" altLang="en-US" sz="1100" b="0" i="0">
              <a:solidFill>
                <a:sysClr val="windowText" lastClr="000000"/>
              </a:solidFill>
              <a:effectLst/>
              <a:latin typeface="+mn-lt"/>
              <a:ea typeface="+mn-ea"/>
              <a:cs typeface="+mn-cs"/>
            </a:rPr>
            <a:t>制御標準</a:t>
          </a:r>
          <a:r>
            <a:rPr lang="en-US" altLang="ja-JP" sz="1100" b="0" i="0">
              <a:solidFill>
                <a:sysClr val="windowText" lastClr="000000"/>
              </a:solidFill>
              <a:effectLst/>
              <a:latin typeface="+mn-lt"/>
              <a:ea typeface="+mn-ea"/>
              <a:cs typeface="+mn-cs"/>
            </a:rPr>
            <a:t>/</a:t>
          </a:r>
          <a:r>
            <a:rPr lang="ja-JP" altLang="en-US" sz="1100" b="0" i="0">
              <a:solidFill>
                <a:sysClr val="windowText" lastClr="000000"/>
              </a:solidFill>
              <a:effectLst/>
              <a:latin typeface="+mn-lt"/>
              <a:ea typeface="+mn-ea"/>
              <a:cs typeface="+mn-cs"/>
            </a:rPr>
            <a:t>標準部品庫、及び、</a:t>
          </a:r>
          <a:endParaRPr lang="en-US" altLang="ja-JP" sz="1100" b="0" i="0">
            <a:solidFill>
              <a:sysClr val="windowText" lastClr="000000"/>
            </a:solidFill>
            <a:effectLst/>
            <a:latin typeface="+mn-lt"/>
            <a:ea typeface="+mn-ea"/>
            <a:cs typeface="+mn-cs"/>
          </a:endParaRPr>
        </a:p>
        <a:p>
          <a:pPr rtl="0"/>
          <a:r>
            <a:rPr lang="ja-JP" altLang="en-US" sz="1100" b="0" i="0">
              <a:solidFill>
                <a:sysClr val="windowText" lastClr="000000"/>
              </a:solidFill>
              <a:effectLst/>
              <a:latin typeface="+mn-lt"/>
              <a:ea typeface="+mn-ea"/>
              <a:cs typeface="+mn-cs"/>
            </a:rPr>
            <a:t>　　　　　　　　　　　　　</a:t>
          </a:r>
          <a:r>
            <a:rPr lang="en-US" altLang="ja-JP" sz="1100" b="0" i="0" u="none" strike="noStrike" baseline="0">
              <a:solidFill>
                <a:schemeClr val="tx1"/>
              </a:solidFill>
              <a:latin typeface="+mn-lt"/>
              <a:ea typeface="+mn-ea"/>
              <a:cs typeface="+mn-cs"/>
            </a:rPr>
            <a:t>Project/EM/EMB/S</a:t>
          </a:r>
          <a:r>
            <a:rPr lang="ja-JP" altLang="en-US" sz="1100" b="0" i="0" u="none" strike="noStrike" baseline="0">
              <a:solidFill>
                <a:schemeClr val="tx1"/>
              </a:solidFill>
              <a:latin typeface="+mn-lt"/>
              <a:ea typeface="+mn-ea"/>
              <a:cs typeface="+mn-cs"/>
            </a:rPr>
            <a:t>＆</a:t>
          </a:r>
          <a:r>
            <a:rPr lang="en-US" altLang="ja-JP" sz="1100" b="0" i="0" u="none" strike="noStrike" baseline="0">
              <a:solidFill>
                <a:schemeClr val="tx1"/>
              </a:solidFill>
              <a:latin typeface="+mn-lt"/>
              <a:ea typeface="+mn-ea"/>
              <a:cs typeface="+mn-cs"/>
            </a:rPr>
            <a:t>S</a:t>
          </a:r>
          <a:r>
            <a:rPr lang="ja-JP" altLang="en-US" sz="1100" b="0" i="0" u="none" strike="noStrike" baseline="0">
              <a:solidFill>
                <a:schemeClr val="tx1"/>
              </a:solidFill>
              <a:latin typeface="+mn-lt"/>
              <a:ea typeface="+mn-ea"/>
              <a:cs typeface="+mn-cs"/>
            </a:rPr>
            <a:t>制御</a:t>
          </a:r>
          <a:r>
            <a:rPr lang="en-US" altLang="ja-JP" sz="1100" b="0" i="0" u="none" strike="noStrike" baseline="0">
              <a:solidFill>
                <a:schemeClr val="tx1"/>
              </a:solidFill>
              <a:latin typeface="+mn-lt"/>
              <a:ea typeface="+mn-ea"/>
              <a:cs typeface="+mn-cs"/>
            </a:rPr>
            <a:t>/</a:t>
          </a:r>
          <a:r>
            <a:rPr lang="ja-JP" altLang="en-US" sz="1100" b="0" i="0" u="none" strike="noStrike" baseline="0">
              <a:solidFill>
                <a:schemeClr val="tx1"/>
              </a:solidFill>
              <a:latin typeface="+mn-lt"/>
              <a:ea typeface="+mn-ea"/>
              <a:cs typeface="+mn-cs"/>
            </a:rPr>
            <a:t>標準</a:t>
          </a:r>
          <a:r>
            <a:rPr lang="en-US" altLang="ja-JP" sz="1100" b="0" i="0" u="none" strike="noStrike" baseline="0">
              <a:solidFill>
                <a:schemeClr val="tx1"/>
              </a:solidFill>
              <a:latin typeface="+mn-lt"/>
              <a:ea typeface="+mn-ea"/>
              <a:cs typeface="+mn-cs"/>
            </a:rPr>
            <a:t>/</a:t>
          </a:r>
          <a:r>
            <a:rPr lang="ja-JP" altLang="en-US" sz="1100" b="0" i="0" u="none" strike="noStrike" baseline="0">
              <a:solidFill>
                <a:schemeClr val="tx1"/>
              </a:solidFill>
              <a:latin typeface="+mn-lt"/>
              <a:ea typeface="+mn-ea"/>
              <a:cs typeface="+mn-cs"/>
            </a:rPr>
            <a:t>エコ電標準</a:t>
          </a:r>
          <a:r>
            <a:rPr lang="en-US" altLang="ja-JP" sz="1100" b="0" i="0" u="none" strike="noStrike" baseline="0">
              <a:solidFill>
                <a:schemeClr val="tx1"/>
              </a:solidFill>
              <a:latin typeface="+mn-lt"/>
              <a:ea typeface="+mn-ea"/>
              <a:cs typeface="+mn-cs"/>
            </a:rPr>
            <a:t>/</a:t>
          </a:r>
          <a:r>
            <a:rPr lang="ja-JP" altLang="en-US" sz="1100" b="0" i="0" u="none" strike="noStrike" baseline="0">
              <a:solidFill>
                <a:schemeClr val="tx1"/>
              </a:solidFill>
              <a:latin typeface="+mn-lt"/>
              <a:ea typeface="+mn-ea"/>
              <a:cs typeface="+mn-cs"/>
            </a:rPr>
            <a:t>標準部品庫</a:t>
          </a:r>
          <a:endParaRPr lang="en-US" altLang="ja-JP" sz="1100" b="0" i="0" u="none" strike="noStrike" baseline="0">
            <a:solidFill>
              <a:schemeClr val="tx1"/>
            </a:solidFill>
            <a:latin typeface="+mn-lt"/>
            <a:ea typeface="+mn-ea"/>
            <a:cs typeface="+mn-cs"/>
          </a:endParaRPr>
        </a:p>
        <a:p>
          <a:pPr rtl="0"/>
          <a:r>
            <a:rPr lang="ja-JP" altLang="en-US" sz="1100" b="0" i="0" u="none" strike="noStrike" baseline="0">
              <a:solidFill>
                <a:schemeClr val="tx1"/>
              </a:solidFill>
              <a:latin typeface="+mn-lt"/>
              <a:ea typeface="+mn-ea"/>
              <a:cs typeface="+mn-cs"/>
            </a:rPr>
            <a:t>・</a:t>
          </a:r>
          <a:r>
            <a:rPr lang="en-US" altLang="ja-JP" sz="1100" b="0" i="0" u="none" strike="noStrike" baseline="0">
              <a:solidFill>
                <a:schemeClr val="tx1"/>
              </a:solidFill>
              <a:latin typeface="+mn-lt"/>
              <a:ea typeface="+mn-ea"/>
              <a:cs typeface="+mn-cs"/>
            </a:rPr>
            <a:t>S&amp;S</a:t>
          </a:r>
          <a:r>
            <a:rPr lang="ja-JP" altLang="en-US" sz="1100" b="0" i="0" u="none" strike="noStrike" baseline="0">
              <a:solidFill>
                <a:schemeClr val="tx1"/>
              </a:solidFill>
              <a:latin typeface="+mn-lt"/>
              <a:ea typeface="+mn-ea"/>
              <a:cs typeface="+mn-cs"/>
            </a:rPr>
            <a:t>電源</a:t>
          </a:r>
          <a:r>
            <a:rPr lang="en-US" altLang="ja-JP" sz="1100" b="0" i="0" u="none" strike="noStrike" baseline="0">
              <a:solidFill>
                <a:schemeClr val="tx1"/>
              </a:solidFill>
              <a:latin typeface="+mn-lt"/>
              <a:ea typeface="+mn-ea"/>
              <a:cs typeface="+mn-cs"/>
            </a:rPr>
            <a:t>(</a:t>
          </a:r>
          <a:r>
            <a:rPr lang="ja-JP" altLang="en-US" sz="1100" b="0" i="0" u="none" strike="noStrike" baseline="0">
              <a:solidFill>
                <a:schemeClr val="tx1"/>
              </a:solidFill>
              <a:latin typeface="+mn-lt"/>
              <a:ea typeface="+mn-ea"/>
              <a:cs typeface="+mn-cs"/>
            </a:rPr>
            <a:t>エコ電</a:t>
          </a:r>
          <a:r>
            <a:rPr lang="en-US" altLang="ja-JP" sz="1100" b="0" i="0" u="none" strike="noStrike" baseline="0">
              <a:solidFill>
                <a:schemeClr val="tx1"/>
              </a:solidFill>
              <a:latin typeface="+mn-lt"/>
              <a:ea typeface="+mn-ea"/>
              <a:cs typeface="+mn-cs"/>
            </a:rPr>
            <a:t>)</a:t>
          </a:r>
          <a:r>
            <a:rPr lang="ja-JP" altLang="en-US" sz="1100" b="0" i="0" u="none" strike="noStrike" baseline="0">
              <a:solidFill>
                <a:schemeClr val="tx1"/>
              </a:solidFill>
              <a:latin typeface="+mn-lt"/>
              <a:ea typeface="+mn-ea"/>
              <a:cs typeface="+mn-cs"/>
            </a:rPr>
            <a:t>　→　</a:t>
          </a:r>
          <a:r>
            <a:rPr lang="en-US" altLang="ja-JP" sz="1100" b="0" i="0" u="none" strike="noStrike" baseline="0">
              <a:solidFill>
                <a:schemeClr val="tx1"/>
              </a:solidFill>
              <a:latin typeface="+mn-lt"/>
              <a:ea typeface="+mn-ea"/>
              <a:cs typeface="+mn-cs"/>
            </a:rPr>
            <a:t>Project/EM/EMB/S</a:t>
          </a:r>
          <a:r>
            <a:rPr lang="ja-JP" altLang="en-US" sz="1100" b="0" i="0" u="none" strike="noStrike" baseline="0">
              <a:solidFill>
                <a:schemeClr val="tx1"/>
              </a:solidFill>
              <a:latin typeface="+mn-lt"/>
              <a:ea typeface="+mn-ea"/>
              <a:cs typeface="+mn-cs"/>
            </a:rPr>
            <a:t>＆</a:t>
          </a:r>
          <a:r>
            <a:rPr lang="en-US" altLang="ja-JP" sz="1100" b="0" i="0" u="none" strike="noStrike" baseline="0">
              <a:solidFill>
                <a:schemeClr val="tx1"/>
              </a:solidFill>
              <a:latin typeface="+mn-lt"/>
              <a:ea typeface="+mn-ea"/>
              <a:cs typeface="+mn-cs"/>
            </a:rPr>
            <a:t>S</a:t>
          </a:r>
          <a:r>
            <a:rPr lang="ja-JP" altLang="en-US" sz="1100" b="0" i="0" u="none" strike="noStrike" baseline="0">
              <a:solidFill>
                <a:schemeClr val="tx1"/>
              </a:solidFill>
              <a:latin typeface="+mn-lt"/>
              <a:ea typeface="+mn-ea"/>
              <a:cs typeface="+mn-cs"/>
            </a:rPr>
            <a:t>制御</a:t>
          </a:r>
          <a:r>
            <a:rPr lang="en-US" altLang="ja-JP" sz="1100" b="0" i="0" u="none" strike="noStrike" baseline="0">
              <a:solidFill>
                <a:schemeClr val="tx1"/>
              </a:solidFill>
              <a:latin typeface="+mn-lt"/>
              <a:ea typeface="+mn-ea"/>
              <a:cs typeface="+mn-cs"/>
            </a:rPr>
            <a:t>/</a:t>
          </a:r>
          <a:r>
            <a:rPr lang="ja-JP" altLang="en-US" sz="1100" b="0" i="0" u="none" strike="noStrike" baseline="0">
              <a:solidFill>
                <a:schemeClr val="tx1"/>
              </a:solidFill>
              <a:latin typeface="+mn-lt"/>
              <a:ea typeface="+mn-ea"/>
              <a:cs typeface="+mn-cs"/>
            </a:rPr>
            <a:t>標準</a:t>
          </a:r>
          <a:r>
            <a:rPr lang="en-US" altLang="ja-JP" sz="1100" b="0" i="0" u="none" strike="noStrike" baseline="0">
              <a:solidFill>
                <a:schemeClr val="tx1"/>
              </a:solidFill>
              <a:latin typeface="+mn-lt"/>
              <a:ea typeface="+mn-ea"/>
              <a:cs typeface="+mn-cs"/>
            </a:rPr>
            <a:t>/</a:t>
          </a:r>
          <a:r>
            <a:rPr lang="ja-JP" altLang="en-US" sz="1100" b="0" i="0" u="none" strike="noStrike" baseline="0">
              <a:solidFill>
                <a:schemeClr val="tx1"/>
              </a:solidFill>
              <a:latin typeface="+mn-lt"/>
              <a:ea typeface="+mn-ea"/>
              <a:cs typeface="+mn-cs"/>
            </a:rPr>
            <a:t>エコ電標準</a:t>
          </a:r>
          <a:r>
            <a:rPr lang="en-US" altLang="ja-JP" sz="1100" b="0" i="0" u="none" strike="noStrike" baseline="0">
              <a:solidFill>
                <a:schemeClr val="tx1"/>
              </a:solidFill>
              <a:latin typeface="+mn-lt"/>
              <a:ea typeface="+mn-ea"/>
              <a:cs typeface="+mn-cs"/>
            </a:rPr>
            <a:t>/</a:t>
          </a:r>
          <a:endParaRPr lang="ja-JP" altLang="en-US" sz="1100" b="0" i="0" u="none" strike="noStrike" baseline="0">
            <a:solidFill>
              <a:schemeClr val="tx1"/>
            </a:solidFill>
            <a:latin typeface="+mn-lt"/>
            <a:ea typeface="+mn-ea"/>
            <a:cs typeface="+mn-cs"/>
          </a:endParaRPr>
        </a:p>
      </xdr:txBody>
    </xdr:sp>
    <xdr:clientData/>
  </xdr:oneCellAnchor>
  <xdr:oneCellAnchor>
    <xdr:from>
      <xdr:col>1</xdr:col>
      <xdr:colOff>0</xdr:colOff>
      <xdr:row>9</xdr:row>
      <xdr:rowOff>0</xdr:rowOff>
    </xdr:from>
    <xdr:ext cx="7283340" cy="459100"/>
    <xdr:sp macro="" textlink="">
      <xdr:nvSpPr>
        <xdr:cNvPr id="65" name="テキスト ボックス 64">
          <a:extLst>
            <a:ext uri="{FF2B5EF4-FFF2-40B4-BE49-F238E27FC236}">
              <a16:creationId xmlns:a16="http://schemas.microsoft.com/office/drawing/2014/main" id="{00000000-0008-0000-0100-000041000000}"/>
            </a:ext>
          </a:extLst>
        </xdr:cNvPr>
        <xdr:cNvSpPr txBox="1"/>
      </xdr:nvSpPr>
      <xdr:spPr>
        <a:xfrm>
          <a:off x="685800" y="2552700"/>
          <a:ext cx="7283340"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eaLnBrk="1" fontAlgn="base" hangingPunct="1"/>
          <a:r>
            <a:rPr lang="en-US" altLang="ja-JP" sz="1100">
              <a:solidFill>
                <a:sysClr val="windowText" lastClr="000000"/>
              </a:solidFill>
              <a:effectLst/>
              <a:latin typeface="+mn-lt"/>
              <a:ea typeface="+mn-ea"/>
              <a:cs typeface="+mn-cs"/>
            </a:rPr>
            <a:t>※</a:t>
          </a:r>
          <a:r>
            <a:rPr lang="ja-JP" altLang="en-US" sz="1100">
              <a:solidFill>
                <a:sysClr val="windowText" lastClr="000000"/>
              </a:solidFill>
              <a:effectLst/>
              <a:latin typeface="+mn-lt"/>
              <a:ea typeface="+mn-ea"/>
              <a:cs typeface="+mn-cs"/>
            </a:rPr>
            <a:t>他ドメインの</a:t>
          </a:r>
          <a:r>
            <a:rPr lang="en-US" altLang="ja-JP" sz="1100">
              <a:solidFill>
                <a:sysClr val="windowText" lastClr="000000"/>
              </a:solidFill>
              <a:effectLst/>
              <a:latin typeface="+mn-lt"/>
              <a:ea typeface="+mn-ea"/>
              <a:cs typeface="+mn-cs"/>
            </a:rPr>
            <a:t>IF</a:t>
          </a:r>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CAN</a:t>
          </a:r>
          <a:r>
            <a:rPr lang="ja-JP" altLang="en-US" sz="1100">
              <a:solidFill>
                <a:sysClr val="windowText" lastClr="000000"/>
              </a:solidFill>
              <a:effectLst/>
              <a:latin typeface="+mn-lt"/>
              <a:ea typeface="+mn-ea"/>
              <a:cs typeface="+mn-cs"/>
            </a:rPr>
            <a:t>信号を新規参照する場合も同様に参照元チェックを実施すること。</a:t>
          </a:r>
          <a:endParaRPr lang="en-US" altLang="ja-JP" sz="1100">
            <a:solidFill>
              <a:sysClr val="windowText" lastClr="000000"/>
            </a:solidFill>
            <a:effectLst/>
            <a:latin typeface="+mn-lt"/>
            <a:ea typeface="+mn-ea"/>
            <a:cs typeface="+mn-cs"/>
          </a:endParaRPr>
        </a:p>
        <a:p>
          <a:pPr rtl="0" eaLnBrk="1" fontAlgn="base" hangingPunct="1"/>
          <a:r>
            <a:rPr lang="ja-JP" altLang="en-US" sz="1100">
              <a:solidFill>
                <a:sysClr val="windowText" lastClr="000000"/>
              </a:solidFill>
              <a:effectLst/>
              <a:latin typeface="+mn-lt"/>
              <a:ea typeface="+mn-ea"/>
              <a:cs typeface="+mn-cs"/>
            </a:rPr>
            <a:t>　　各ドメインの</a:t>
          </a:r>
          <a:r>
            <a:rPr lang="en-US" altLang="ja-JP" sz="1100">
              <a:solidFill>
                <a:sysClr val="windowText" lastClr="000000"/>
              </a:solidFill>
              <a:effectLst/>
              <a:latin typeface="+mn-lt"/>
              <a:ea typeface="+mn-ea"/>
              <a:cs typeface="+mn-cs"/>
            </a:rPr>
            <a:t>IF</a:t>
          </a:r>
          <a:r>
            <a:rPr lang="ja-JP" altLang="en-US" sz="1100">
              <a:solidFill>
                <a:sysClr val="windowText" lastClr="000000"/>
              </a:solidFill>
              <a:effectLst/>
              <a:latin typeface="+mn-lt"/>
              <a:ea typeface="+mn-ea"/>
              <a:cs typeface="+mn-cs"/>
            </a:rPr>
            <a:t>情報は下記を参考に確認。（工事中。</a:t>
          </a:r>
          <a:r>
            <a:rPr lang="en-US" altLang="ja-JP" sz="1100">
              <a:solidFill>
                <a:sysClr val="windowText" lastClr="000000"/>
              </a:solidFill>
              <a:effectLst/>
              <a:latin typeface="+mn-lt"/>
              <a:ea typeface="+mn-ea"/>
              <a:cs typeface="+mn-cs"/>
            </a:rPr>
            <a:t>PTM</a:t>
          </a:r>
          <a:r>
            <a:rPr lang="ja-JP" altLang="en-US" sz="1100">
              <a:solidFill>
                <a:sysClr val="windowText" lastClr="000000"/>
              </a:solidFill>
              <a:effectLst/>
              <a:latin typeface="+mn-lt"/>
              <a:ea typeface="+mn-ea"/>
              <a:cs typeface="+mn-cs"/>
            </a:rPr>
            <a:t>や</a:t>
          </a:r>
          <a:r>
            <a:rPr lang="en-US" altLang="ja-JP" sz="1100">
              <a:solidFill>
                <a:sysClr val="windowText" lastClr="000000"/>
              </a:solidFill>
              <a:effectLst/>
              <a:latin typeface="+mn-lt"/>
              <a:ea typeface="+mn-ea"/>
              <a:cs typeface="+mn-cs"/>
            </a:rPr>
            <a:t>HEV</a:t>
          </a:r>
          <a:r>
            <a:rPr lang="ja-JP" altLang="en-US" sz="1100">
              <a:solidFill>
                <a:sysClr val="windowText" lastClr="000000"/>
              </a:solidFill>
              <a:effectLst/>
              <a:latin typeface="+mn-lt"/>
              <a:ea typeface="+mn-ea"/>
              <a:cs typeface="+mn-cs"/>
            </a:rPr>
            <a:t>のシス制・走制等についても分かりしだい追記します。）</a:t>
          </a:r>
          <a:endParaRPr lang="ja-JP" altLang="ja-JP">
            <a:solidFill>
              <a:sysClr val="windowText" lastClr="000000"/>
            </a:solidFill>
            <a:effectLst/>
          </a:endParaRPr>
        </a:p>
      </xdr:txBody>
    </xdr:sp>
    <xdr:clientData/>
  </xdr:oneCellAnchor>
  <xdr:twoCellAnchor>
    <xdr:from>
      <xdr:col>3</xdr:col>
      <xdr:colOff>2162174</xdr:colOff>
      <xdr:row>8</xdr:row>
      <xdr:rowOff>76200</xdr:rowOff>
    </xdr:from>
    <xdr:to>
      <xdr:col>4</xdr:col>
      <xdr:colOff>1419224</xdr:colOff>
      <xdr:row>15</xdr:row>
      <xdr:rowOff>133350</xdr:rowOff>
    </xdr:to>
    <xdr:sp macro="" textlink="">
      <xdr:nvSpPr>
        <xdr:cNvPr id="66" name="四角形吹き出し 65">
          <a:extLst>
            <a:ext uri="{FF2B5EF4-FFF2-40B4-BE49-F238E27FC236}">
              <a16:creationId xmlns:a16="http://schemas.microsoft.com/office/drawing/2014/main" id="{00000000-0008-0000-0100-000042000000}"/>
            </a:ext>
          </a:extLst>
        </xdr:cNvPr>
        <xdr:cNvSpPr/>
      </xdr:nvSpPr>
      <xdr:spPr>
        <a:xfrm>
          <a:off x="8848724" y="2457450"/>
          <a:ext cx="3667125" cy="1257300"/>
        </a:xfrm>
        <a:prstGeom prst="wedgeRectCallout">
          <a:avLst>
            <a:gd name="adj1" fmla="val -77572"/>
            <a:gd name="adj2" fmla="val -9369"/>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t">
          <a:noAutofit/>
        </a:bodyPr>
        <a:lstStyle/>
        <a:p>
          <a:pPr algn="l"/>
          <a:r>
            <a:rPr kumimoji="1" lang="ja-JP" altLang="en-US" sz="1100">
              <a:solidFill>
                <a:sysClr val="windowText" lastClr="000000"/>
              </a:solidFill>
            </a:rPr>
            <a:t>自モジュール以外から新たに参照を追加する場合は、</a:t>
          </a:r>
          <a:endParaRPr kumimoji="1" lang="en-US" altLang="ja-JP" sz="1100">
            <a:solidFill>
              <a:sysClr val="windowText" lastClr="000000"/>
            </a:solidFill>
          </a:endParaRPr>
        </a:p>
        <a:p>
          <a:pPr algn="l"/>
          <a:r>
            <a:rPr kumimoji="1" lang="ja-JP" altLang="en-US" sz="1100">
              <a:solidFill>
                <a:sysClr val="windowText" lastClr="000000"/>
              </a:solidFill>
            </a:rPr>
            <a:t>他ドメイン、通信</a:t>
          </a:r>
          <a:r>
            <a:rPr kumimoji="1" lang="en-US" altLang="ja-JP" sz="1100">
              <a:solidFill>
                <a:sysClr val="windowText" lastClr="000000"/>
              </a:solidFill>
            </a:rPr>
            <a:t>IF</a:t>
          </a:r>
          <a:r>
            <a:rPr kumimoji="1" lang="ja-JP" altLang="en-US" sz="1100">
              <a:solidFill>
                <a:sysClr val="windowText" lastClr="000000"/>
              </a:solidFill>
            </a:rPr>
            <a:t>含めて参照元チェックすること</a:t>
          </a:r>
          <a:endParaRPr kumimoji="1" lang="en-US" altLang="ja-JP" sz="1100">
            <a:solidFill>
              <a:sysClr val="windowText" lastClr="000000"/>
            </a:solidFill>
          </a:endParaRPr>
        </a:p>
        <a:p>
          <a:pPr algn="l"/>
          <a:endParaRPr kumimoji="1" lang="en-US" altLang="ja-JP" sz="1100">
            <a:solidFill>
              <a:sysClr val="windowText" lastClr="000000"/>
            </a:solidFill>
          </a:endParaRPr>
        </a:p>
        <a:p>
          <a:pPr algn="l"/>
          <a:r>
            <a:rPr kumimoji="1" lang="ja-JP" altLang="en-US" sz="1100">
              <a:solidFill>
                <a:sysClr val="windowText" lastClr="000000"/>
              </a:solidFill>
            </a:rPr>
            <a:t>・データマスターシートの確認には</a:t>
          </a:r>
          <a:r>
            <a:rPr kumimoji="1" lang="en-US" altLang="ja-JP" sz="1100">
              <a:solidFill>
                <a:sysClr val="windowText" lastClr="000000"/>
              </a:solidFill>
            </a:rPr>
            <a:t>LAN-DB2</a:t>
          </a:r>
          <a:r>
            <a:rPr kumimoji="1" lang="ja-JP" altLang="en-US" sz="1100">
              <a:solidFill>
                <a:sysClr val="windowText" lastClr="000000"/>
              </a:solidFill>
            </a:rPr>
            <a:t>の申請が必要。</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SAC</a:t>
          </a:r>
          <a:r>
            <a:rPr kumimoji="1" lang="ja-JP" altLang="en-US" sz="1100">
              <a:solidFill>
                <a:sysClr val="windowText" lastClr="000000"/>
              </a:solidFill>
            </a:rPr>
            <a:t>・</a:t>
          </a:r>
          <a:r>
            <a:rPr kumimoji="1" lang="en-US" altLang="ja-JP" sz="1100">
              <a:solidFill>
                <a:sysClr val="windowText" lastClr="000000"/>
              </a:solidFill>
            </a:rPr>
            <a:t>DIAG</a:t>
          </a:r>
          <a:r>
            <a:rPr kumimoji="1" lang="ja-JP" altLang="en-US" sz="1100">
              <a:solidFill>
                <a:sysClr val="windowText" lastClr="000000"/>
              </a:solidFill>
            </a:rPr>
            <a:t>仕様書の確認には</a:t>
          </a:r>
          <a:r>
            <a:rPr kumimoji="1" lang="en-US" altLang="ja-JP" sz="1100">
              <a:solidFill>
                <a:sysClr val="windowText" lastClr="000000"/>
              </a:solidFill>
            </a:rPr>
            <a:t>iSpiritWEB</a:t>
          </a:r>
          <a:r>
            <a:rPr kumimoji="1" lang="ja-JP" altLang="en-US" sz="1100">
              <a:solidFill>
                <a:sysClr val="windowText" lastClr="000000"/>
              </a:solidFill>
            </a:rPr>
            <a:t>の申請が必要。</a:t>
          </a:r>
          <a:endParaRPr kumimoji="1" lang="en-US" altLang="ja-JP" sz="1100">
            <a:solidFill>
              <a:sysClr val="windowText" lastClr="000000"/>
            </a:solidFill>
          </a:endParaRPr>
        </a:p>
      </xdr:txBody>
    </xdr:sp>
    <xdr:clientData/>
  </xdr:twoCellAnchor>
  <xdr:twoCellAnchor>
    <xdr:from>
      <xdr:col>3</xdr:col>
      <xdr:colOff>2171700</xdr:colOff>
      <xdr:row>16</xdr:row>
      <xdr:rowOff>47625</xdr:rowOff>
    </xdr:from>
    <xdr:to>
      <xdr:col>4</xdr:col>
      <xdr:colOff>1428750</xdr:colOff>
      <xdr:row>27</xdr:row>
      <xdr:rowOff>19051</xdr:rowOff>
    </xdr:to>
    <xdr:sp macro="" textlink="">
      <xdr:nvSpPr>
        <xdr:cNvPr id="45" name="正方形/長方形 44">
          <a:extLst>
            <a:ext uri="{FF2B5EF4-FFF2-40B4-BE49-F238E27FC236}">
              <a16:creationId xmlns:a16="http://schemas.microsoft.com/office/drawing/2014/main" id="{00000000-0008-0000-0100-00002D000000}"/>
            </a:ext>
          </a:extLst>
        </xdr:cNvPr>
        <xdr:cNvSpPr/>
      </xdr:nvSpPr>
      <xdr:spPr>
        <a:xfrm>
          <a:off x="8858250" y="3800475"/>
          <a:ext cx="3667125" cy="1857376"/>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t">
          <a:noAutofit/>
        </a:bodyPr>
        <a:lstStyle/>
        <a:p>
          <a:pPr algn="l"/>
          <a:r>
            <a:rPr kumimoji="1" lang="ja-JP" altLang="en-US" sz="1400" b="1">
              <a:solidFill>
                <a:sysClr val="windowText" lastClr="000000"/>
              </a:solidFill>
            </a:rPr>
            <a:t>窓口担当</a:t>
          </a:r>
          <a:endParaRPr kumimoji="1" lang="en-US" altLang="ja-JP" sz="1400" b="1">
            <a:solidFill>
              <a:sysClr val="windowText" lastClr="000000"/>
            </a:solidFill>
          </a:endParaRPr>
        </a:p>
        <a:p>
          <a:pPr algn="l"/>
          <a:r>
            <a:rPr kumimoji="1" lang="ja-JP" altLang="en-US" sz="1100" b="1" u="sng">
              <a:solidFill>
                <a:sysClr val="windowText" lastClr="000000"/>
              </a:solidFill>
            </a:rPr>
            <a:t>＜</a:t>
          </a:r>
          <a:r>
            <a:rPr kumimoji="1" lang="en-US" altLang="ja-JP" sz="1100" b="1" u="sng">
              <a:solidFill>
                <a:sysClr val="windowText" lastClr="000000"/>
              </a:solidFill>
            </a:rPr>
            <a:t>EFI-ECU</a:t>
          </a:r>
          <a:r>
            <a:rPr kumimoji="1" lang="ja-JP" altLang="en-US" sz="1100" b="1" u="sng">
              <a:solidFill>
                <a:sysClr val="windowText" lastClr="000000"/>
              </a:solidFill>
            </a:rPr>
            <a:t>内のエンジン外ドメイン＞</a:t>
          </a:r>
          <a:endParaRPr kumimoji="1" lang="en-US" altLang="ja-JP" sz="1100" b="1" u="sng">
            <a:solidFill>
              <a:sysClr val="windowText" lastClr="000000"/>
            </a:solidFill>
          </a:endParaRPr>
        </a:p>
        <a:p>
          <a:pPr algn="l"/>
          <a:r>
            <a:rPr kumimoji="1" lang="ja-JP" altLang="en-US" sz="1100" b="1">
              <a:solidFill>
                <a:sysClr val="windowText" lastClr="000000"/>
              </a:solidFill>
            </a:rPr>
            <a:t>　・</a:t>
          </a:r>
          <a:r>
            <a:rPr kumimoji="1" lang="en-US" altLang="ja-JP" sz="1100" b="1">
              <a:solidFill>
                <a:sysClr val="windowText" lastClr="000000"/>
              </a:solidFill>
            </a:rPr>
            <a:t>SAC</a:t>
          </a:r>
          <a:r>
            <a:rPr kumimoji="1" lang="ja-JP" altLang="en-US" sz="1100" b="1">
              <a:solidFill>
                <a:sysClr val="windowText" lastClr="000000"/>
              </a:solidFill>
            </a:rPr>
            <a:t>：</a:t>
          </a:r>
          <a:r>
            <a:rPr kumimoji="1" lang="en-US" altLang="ja-JP" sz="1100" b="1">
              <a:solidFill>
                <a:sysClr val="windowText" lastClr="000000"/>
              </a:solidFill>
            </a:rPr>
            <a:t>24F4G</a:t>
          </a:r>
          <a:r>
            <a:rPr kumimoji="1" lang="ja-JP" altLang="en-US" sz="1100" b="1">
              <a:solidFill>
                <a:sysClr val="windowText" lastClr="000000"/>
              </a:solidFill>
            </a:rPr>
            <a:t>高木</a:t>
          </a:r>
          <a:r>
            <a:rPr kumimoji="1" lang="en-US" altLang="ja-JP" sz="1100" b="1">
              <a:solidFill>
                <a:sysClr val="windowText" lastClr="000000"/>
              </a:solidFill>
            </a:rPr>
            <a:t>SN</a:t>
          </a:r>
          <a:r>
            <a:rPr kumimoji="1" lang="ja-JP" altLang="en-US" sz="1100" b="1">
              <a:solidFill>
                <a:sysClr val="windowText" lastClr="000000"/>
              </a:solidFill>
            </a:rPr>
            <a:t>・田中</a:t>
          </a:r>
          <a:r>
            <a:rPr kumimoji="1" lang="en-US" altLang="ja-JP" sz="1100" b="1">
              <a:solidFill>
                <a:sysClr val="windowText" lastClr="000000"/>
              </a:solidFill>
            </a:rPr>
            <a:t>SK</a:t>
          </a:r>
        </a:p>
        <a:p>
          <a:pPr algn="l"/>
          <a:r>
            <a:rPr kumimoji="1" lang="ja-JP" altLang="en-US" sz="1100" b="1">
              <a:solidFill>
                <a:sysClr val="windowText" lastClr="000000"/>
              </a:solidFill>
            </a:rPr>
            <a:t>　・</a:t>
          </a:r>
          <a:r>
            <a:rPr kumimoji="1" lang="en-US" altLang="ja-JP" sz="1100" b="1">
              <a:solidFill>
                <a:sysClr val="windowText" lastClr="000000"/>
              </a:solidFill>
            </a:rPr>
            <a:t>DIAG</a:t>
          </a:r>
          <a:r>
            <a:rPr kumimoji="1" lang="ja-JP" altLang="en-US" sz="1100" b="1">
              <a:solidFill>
                <a:sysClr val="windowText" lastClr="000000"/>
              </a:solidFill>
            </a:rPr>
            <a:t>：</a:t>
          </a:r>
          <a:r>
            <a:rPr kumimoji="1" lang="en-US" altLang="ja-JP" sz="1100" b="1">
              <a:solidFill>
                <a:sysClr val="windowText" lastClr="000000"/>
              </a:solidFill>
            </a:rPr>
            <a:t>23F3G</a:t>
          </a:r>
          <a:r>
            <a:rPr kumimoji="1" lang="ja-JP" altLang="en-US" sz="1100" b="1">
              <a:solidFill>
                <a:sysClr val="windowText" lastClr="000000"/>
              </a:solidFill>
            </a:rPr>
            <a:t>皆川</a:t>
          </a:r>
          <a:r>
            <a:rPr kumimoji="1" lang="en-US" altLang="ja-JP" sz="1100" b="1">
              <a:solidFill>
                <a:sysClr val="windowText" lastClr="000000"/>
              </a:solidFill>
            </a:rPr>
            <a:t>SN</a:t>
          </a:r>
          <a:r>
            <a:rPr kumimoji="1" lang="ja-JP" altLang="en-US" sz="1100" b="1">
              <a:solidFill>
                <a:sysClr val="windowText" lastClr="000000"/>
              </a:solidFill>
            </a:rPr>
            <a:t>・小木曽</a:t>
          </a:r>
          <a:r>
            <a:rPr kumimoji="1" lang="en-US" altLang="ja-JP" sz="1100" b="1">
              <a:solidFill>
                <a:sysClr val="windowText" lastClr="000000"/>
              </a:solidFill>
            </a:rPr>
            <a:t>SK</a:t>
          </a:r>
        </a:p>
        <a:p>
          <a:pPr algn="l"/>
          <a:r>
            <a:rPr kumimoji="1" lang="ja-JP" altLang="en-US" sz="1100" b="1">
              <a:solidFill>
                <a:sysClr val="windowText" lastClr="000000"/>
              </a:solidFill>
            </a:rPr>
            <a:t>　・</a:t>
          </a:r>
          <a:r>
            <a:rPr kumimoji="1" lang="en-US" altLang="ja-JP" sz="1100" b="1">
              <a:solidFill>
                <a:sysClr val="windowText" lastClr="000000"/>
              </a:solidFill>
            </a:rPr>
            <a:t>YSOC</a:t>
          </a:r>
          <a:r>
            <a:rPr kumimoji="1" lang="ja-JP" altLang="en-US" sz="1100" b="1">
              <a:solidFill>
                <a:sysClr val="windowText" lastClr="000000"/>
              </a:solidFill>
            </a:rPr>
            <a:t>：充電→</a:t>
          </a:r>
          <a:r>
            <a:rPr kumimoji="1" lang="en-US" altLang="ja-JP" sz="1100" b="1">
              <a:solidFill>
                <a:sysClr val="windowText" lastClr="000000"/>
              </a:solidFill>
            </a:rPr>
            <a:t>EPF5-1G</a:t>
          </a:r>
          <a:r>
            <a:rPr kumimoji="1" lang="ja-JP" altLang="en-US" sz="1100" b="1">
              <a:solidFill>
                <a:sysClr val="windowText" lastClr="000000"/>
              </a:solidFill>
            </a:rPr>
            <a:t>後藤</a:t>
          </a:r>
          <a:r>
            <a:rPr kumimoji="1" lang="en-US" altLang="ja-JP" sz="1100" b="1">
              <a:solidFill>
                <a:sysClr val="windowText" lastClr="000000"/>
              </a:solidFill>
            </a:rPr>
            <a:t>SN</a:t>
          </a:r>
          <a:r>
            <a:rPr kumimoji="1" lang="ja-JP" altLang="en-US" sz="1100" b="1">
              <a:solidFill>
                <a:sysClr val="windowText" lastClr="000000"/>
              </a:solidFill>
            </a:rPr>
            <a:t>、補機電→</a:t>
          </a:r>
          <a:r>
            <a:rPr kumimoji="1" lang="en-US" altLang="ja-JP" sz="1100" b="1">
              <a:solidFill>
                <a:sysClr val="windowText" lastClr="000000"/>
              </a:solidFill>
            </a:rPr>
            <a:t>EPF5-1G</a:t>
          </a:r>
          <a:r>
            <a:rPr kumimoji="1" lang="ja-JP" altLang="en-US" sz="1100" b="1">
              <a:solidFill>
                <a:sysClr val="windowText" lastClr="000000"/>
              </a:solidFill>
            </a:rPr>
            <a:t>宮下</a:t>
          </a:r>
          <a:r>
            <a:rPr kumimoji="1" lang="en-US" altLang="ja-JP" sz="1100" b="1">
              <a:solidFill>
                <a:sysClr val="windowText" lastClr="000000"/>
              </a:solidFill>
            </a:rPr>
            <a:t>SN</a:t>
          </a:r>
        </a:p>
        <a:p>
          <a:pPr algn="l"/>
          <a:r>
            <a:rPr kumimoji="1" lang="ja-JP" altLang="en-US" sz="1100" b="1" u="sng">
              <a:solidFill>
                <a:sysClr val="windowText" lastClr="000000"/>
              </a:solidFill>
            </a:rPr>
            <a:t>＜</a:t>
          </a:r>
          <a:r>
            <a:rPr kumimoji="1" lang="en-US" altLang="ja-JP" sz="1100" b="1" u="sng">
              <a:solidFill>
                <a:sysClr val="windowText" lastClr="000000"/>
              </a:solidFill>
            </a:rPr>
            <a:t>EFI-ECU</a:t>
          </a:r>
          <a:r>
            <a:rPr kumimoji="1" lang="ja-JP" altLang="en-US" sz="1100" b="1" u="sng">
              <a:solidFill>
                <a:sysClr val="windowText" lastClr="000000"/>
              </a:solidFill>
            </a:rPr>
            <a:t>外のドメイン＞</a:t>
          </a:r>
          <a:endParaRPr kumimoji="1" lang="en-US" altLang="ja-JP" sz="1100" b="1" u="sng">
            <a:solidFill>
              <a:sysClr val="windowText" lastClr="000000"/>
            </a:solidFill>
          </a:endParaRPr>
        </a:p>
        <a:p>
          <a:pPr algn="l"/>
          <a:r>
            <a:rPr kumimoji="1" lang="ja-JP" altLang="en-US" sz="1100" b="1">
              <a:solidFill>
                <a:sysClr val="windowText" lastClr="000000"/>
              </a:solidFill>
            </a:rPr>
            <a:t>　・</a:t>
          </a:r>
          <a:r>
            <a:rPr kumimoji="1" lang="en-US" altLang="ja-JP" sz="1100" b="1">
              <a:solidFill>
                <a:sysClr val="windowText" lastClr="000000"/>
              </a:solidFill>
            </a:rPr>
            <a:t>S&amp;S</a:t>
          </a:r>
          <a:r>
            <a:rPr kumimoji="1" lang="ja-JP" altLang="en-US" sz="1100" b="1">
              <a:solidFill>
                <a:sysClr val="windowText" lastClr="000000"/>
              </a:solidFill>
            </a:rPr>
            <a:t>制御</a:t>
          </a:r>
          <a:r>
            <a:rPr kumimoji="1" lang="en-US" altLang="ja-JP" sz="1100" b="1">
              <a:solidFill>
                <a:sysClr val="windowText" lastClr="000000"/>
              </a:solidFill>
            </a:rPr>
            <a:t>(ECO-ECU)</a:t>
          </a:r>
          <a:r>
            <a:rPr kumimoji="1" lang="ja-JP" altLang="en-US" sz="1100" b="1">
              <a:solidFill>
                <a:sysClr val="windowText" lastClr="000000"/>
              </a:solidFill>
            </a:rPr>
            <a:t>：</a:t>
          </a:r>
          <a:r>
            <a:rPr kumimoji="1" lang="en-US" altLang="ja-JP" sz="1100" b="1">
              <a:solidFill>
                <a:sysClr val="windowText" lastClr="000000"/>
              </a:solidFill>
            </a:rPr>
            <a:t>EPF5-1G</a:t>
          </a:r>
          <a:r>
            <a:rPr kumimoji="1" lang="ja-JP" altLang="en-US" sz="1100" b="1">
              <a:solidFill>
                <a:sysClr val="windowText" lastClr="000000"/>
              </a:solidFill>
            </a:rPr>
            <a:t>加藤雅</a:t>
          </a:r>
          <a:r>
            <a:rPr kumimoji="1" lang="en-US" altLang="ja-JP" sz="1100" b="1">
              <a:solidFill>
                <a:sysClr val="windowText" lastClr="000000"/>
              </a:solidFill>
            </a:rPr>
            <a:t>SN</a:t>
          </a:r>
        </a:p>
        <a:p>
          <a:pPr algn="l"/>
          <a:r>
            <a:rPr kumimoji="1" lang="ja-JP" altLang="en-US" sz="1100" b="1">
              <a:solidFill>
                <a:sysClr val="windowText" lastClr="000000"/>
              </a:solidFill>
            </a:rPr>
            <a:t>　・</a:t>
          </a:r>
          <a:r>
            <a:rPr kumimoji="1" lang="en-US" altLang="ja-JP" sz="1100" b="1">
              <a:solidFill>
                <a:sysClr val="windowText" lastClr="000000"/>
              </a:solidFill>
            </a:rPr>
            <a:t>S&amp;S</a:t>
          </a:r>
          <a:r>
            <a:rPr kumimoji="1" lang="ja-JP" altLang="en-US" sz="1100" b="1">
              <a:solidFill>
                <a:sysClr val="windowText" lastClr="000000"/>
              </a:solidFill>
            </a:rPr>
            <a:t>電源</a:t>
          </a:r>
          <a:r>
            <a:rPr kumimoji="1" lang="en-US" altLang="ja-JP" sz="1100" b="1">
              <a:solidFill>
                <a:sysClr val="windowText" lastClr="000000"/>
              </a:solidFill>
            </a:rPr>
            <a:t>(</a:t>
          </a:r>
          <a:r>
            <a:rPr kumimoji="1" lang="ja-JP" altLang="en-US" sz="1100" b="1">
              <a:solidFill>
                <a:sysClr val="windowText" lastClr="000000"/>
              </a:solidFill>
            </a:rPr>
            <a:t>エコ電</a:t>
          </a:r>
          <a:r>
            <a:rPr kumimoji="1" lang="en-US" altLang="ja-JP" sz="1100" b="1">
              <a:solidFill>
                <a:sysClr val="windowText" lastClr="000000"/>
              </a:solidFill>
            </a:rPr>
            <a:t>)</a:t>
          </a:r>
          <a:r>
            <a:rPr kumimoji="1" lang="ja-JP" altLang="en-US" sz="1100" b="1">
              <a:solidFill>
                <a:sysClr val="windowText" lastClr="000000"/>
              </a:solidFill>
            </a:rPr>
            <a:t>：</a:t>
          </a:r>
          <a:r>
            <a:rPr kumimoji="1" lang="en-US" altLang="ja-JP" sz="1100" b="1">
              <a:solidFill>
                <a:sysClr val="windowText" lastClr="000000"/>
              </a:solidFill>
            </a:rPr>
            <a:t>EPF5-1G</a:t>
          </a:r>
        </a:p>
      </xdr:txBody>
    </xdr:sp>
    <xdr:clientData/>
  </xdr:twoCellAnchor>
  <xdr:twoCellAnchor>
    <xdr:from>
      <xdr:col>5</xdr:col>
      <xdr:colOff>0</xdr:colOff>
      <xdr:row>37</xdr:row>
      <xdr:rowOff>58068</xdr:rowOff>
    </xdr:from>
    <xdr:to>
      <xdr:col>5</xdr:col>
      <xdr:colOff>311727</xdr:colOff>
      <xdr:row>37</xdr:row>
      <xdr:rowOff>317841</xdr:rowOff>
    </xdr:to>
    <xdr:sp macro="" textlink="">
      <xdr:nvSpPr>
        <xdr:cNvPr id="2" name="矢印: 右 1">
          <a:extLst>
            <a:ext uri="{FF2B5EF4-FFF2-40B4-BE49-F238E27FC236}">
              <a16:creationId xmlns:a16="http://schemas.microsoft.com/office/drawing/2014/main" id="{00000000-0008-0000-0100-000002000000}"/>
            </a:ext>
          </a:extLst>
        </xdr:cNvPr>
        <xdr:cNvSpPr/>
      </xdr:nvSpPr>
      <xdr:spPr>
        <a:xfrm>
          <a:off x="16002000" y="11622539"/>
          <a:ext cx="311727" cy="259773"/>
        </a:xfrm>
        <a:prstGeom prst="rightArrow">
          <a:avLst/>
        </a:prstGeom>
        <a:solidFill>
          <a:schemeClr val="accent3">
            <a:lumMod val="60000"/>
            <a:lumOff val="40000"/>
          </a:schemeClr>
        </a:solidFill>
        <a:ln w="9525">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rtlCol="0" anchor="t">
          <a:spAutoFit/>
        </a:bodyPr>
        <a:lstStyle/>
        <a:p>
          <a:pPr algn="l"/>
          <a:endParaRPr kumimoji="1" lang="ja-JP" altLang="en-US" sz="1100">
            <a:solidFill>
              <a:sysClr val="windowText" lastClr="000000"/>
            </a:solidFill>
          </a:endParaRPr>
        </a:p>
      </xdr:txBody>
    </xdr:sp>
    <xdr:clientData/>
  </xdr:twoCellAnchor>
  <xdr:oneCellAnchor>
    <xdr:from>
      <xdr:col>5</xdr:col>
      <xdr:colOff>392206</xdr:colOff>
      <xdr:row>34</xdr:row>
      <xdr:rowOff>268942</xdr:rowOff>
    </xdr:from>
    <xdr:ext cx="9272667" cy="459100"/>
    <xdr:sp macro="" textlink="">
      <xdr:nvSpPr>
        <xdr:cNvPr id="46" name="テキスト ボックス 45">
          <a:extLst>
            <a:ext uri="{FF2B5EF4-FFF2-40B4-BE49-F238E27FC236}">
              <a16:creationId xmlns:a16="http://schemas.microsoft.com/office/drawing/2014/main" id="{00000000-0008-0000-0100-00002E000000}"/>
            </a:ext>
          </a:extLst>
        </xdr:cNvPr>
        <xdr:cNvSpPr txBox="1"/>
      </xdr:nvSpPr>
      <xdr:spPr>
        <a:xfrm>
          <a:off x="16394206" y="8908677"/>
          <a:ext cx="9272667"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標準仕様の最新の処理順は以下を確認すること</a:t>
          </a:r>
          <a:endParaRPr kumimoji="1" lang="en-US" altLang="ja-JP" sz="1100">
            <a:solidFill>
              <a:srgbClr val="FF0000"/>
            </a:solidFill>
          </a:endParaRPr>
        </a:p>
        <a:p>
          <a:r>
            <a:rPr kumimoji="1" lang="en-US" altLang="ja-JP" sz="1100">
              <a:solidFill>
                <a:srgbClr val="FF0000"/>
              </a:solidFill>
            </a:rPr>
            <a:t>"\\tec-hfs01\MU-0502\</a:t>
          </a:r>
          <a:r>
            <a:rPr kumimoji="1" lang="ja-JP" altLang="en-US" sz="1100">
              <a:solidFill>
                <a:srgbClr val="FF0000"/>
              </a:solidFill>
            </a:rPr>
            <a:t>要素開発</a:t>
          </a:r>
          <a:r>
            <a:rPr kumimoji="1" lang="en-US" altLang="ja-JP" sz="1100">
              <a:solidFill>
                <a:srgbClr val="FF0000"/>
              </a:solidFill>
            </a:rPr>
            <a:t>02\</a:t>
          </a:r>
          <a:r>
            <a:rPr kumimoji="1" lang="ja-JP" altLang="en-US" sz="1100">
              <a:solidFill>
                <a:srgbClr val="FF0000"/>
              </a:solidFill>
            </a:rPr>
            <a:t>ガソリン標準ソフト開発管理</a:t>
          </a:r>
          <a:r>
            <a:rPr kumimoji="1" lang="en-US" altLang="ja-JP" sz="1100">
              <a:solidFill>
                <a:srgbClr val="FF0000"/>
              </a:solidFill>
            </a:rPr>
            <a:t>\17C</a:t>
          </a:r>
          <a:r>
            <a:rPr kumimoji="1" lang="ja-JP" altLang="en-US" sz="1100">
              <a:solidFill>
                <a:srgbClr val="FF0000"/>
              </a:solidFill>
            </a:rPr>
            <a:t>標準</a:t>
          </a:r>
          <a:r>
            <a:rPr kumimoji="1" lang="en-US" altLang="ja-JP" sz="1100">
              <a:solidFill>
                <a:srgbClr val="FF0000"/>
              </a:solidFill>
            </a:rPr>
            <a:t>(ejcc,elmng,ezif)</a:t>
          </a:r>
          <a:r>
            <a:rPr kumimoji="1" lang="ja-JP" altLang="en-US" sz="1100">
              <a:solidFill>
                <a:srgbClr val="FF0000"/>
              </a:solidFill>
            </a:rPr>
            <a:t>変更要望集約</a:t>
          </a:r>
          <a:r>
            <a:rPr kumimoji="1" lang="en-US" altLang="ja-JP" sz="1100">
              <a:solidFill>
                <a:srgbClr val="FF0000"/>
              </a:solidFill>
            </a:rPr>
            <a:t>\mng</a:t>
          </a:r>
          <a:r>
            <a:rPr kumimoji="1" lang="ja-JP" altLang="en-US" sz="1100">
              <a:solidFill>
                <a:srgbClr val="FF0000"/>
              </a:solidFill>
            </a:rPr>
            <a:t>部品</a:t>
          </a:r>
          <a:r>
            <a:rPr kumimoji="1" lang="en-US" altLang="ja-JP" sz="1100">
              <a:solidFill>
                <a:srgbClr val="FF0000"/>
              </a:solidFill>
            </a:rPr>
            <a:t>\elmngefi\elmngefi</a:t>
          </a:r>
          <a:r>
            <a:rPr kumimoji="1" lang="ja-JP" altLang="en-US" sz="1100">
              <a:solidFill>
                <a:srgbClr val="FF0000"/>
              </a:solidFill>
            </a:rPr>
            <a:t>標準変更集約</a:t>
          </a:r>
          <a:r>
            <a:rPr kumimoji="1" lang="en-US" altLang="ja-JP" sz="1100">
              <a:solidFill>
                <a:srgbClr val="FF0000"/>
              </a:solidFill>
            </a:rPr>
            <a:t>.xlsx"</a:t>
          </a:r>
          <a:endParaRPr kumimoji="1" lang="ja-JP" altLang="en-US" sz="1100">
            <a:solidFill>
              <a:srgbClr val="FF0000"/>
            </a:solidFill>
          </a:endParaRPr>
        </a:p>
      </xdr:txBody>
    </xdr:sp>
    <xdr:clientData/>
  </xdr:oneCellAnchor>
  <xdr:twoCellAnchor>
    <xdr:from>
      <xdr:col>5</xdr:col>
      <xdr:colOff>56029</xdr:colOff>
      <xdr:row>34</xdr:row>
      <xdr:rowOff>360626</xdr:rowOff>
    </xdr:from>
    <xdr:to>
      <xdr:col>5</xdr:col>
      <xdr:colOff>367756</xdr:colOff>
      <xdr:row>34</xdr:row>
      <xdr:rowOff>620399</xdr:rowOff>
    </xdr:to>
    <xdr:sp macro="" textlink="">
      <xdr:nvSpPr>
        <xdr:cNvPr id="47" name="矢印: 右 46">
          <a:extLst>
            <a:ext uri="{FF2B5EF4-FFF2-40B4-BE49-F238E27FC236}">
              <a16:creationId xmlns:a16="http://schemas.microsoft.com/office/drawing/2014/main" id="{00000000-0008-0000-0100-00002F000000}"/>
            </a:ext>
          </a:extLst>
        </xdr:cNvPr>
        <xdr:cNvSpPr/>
      </xdr:nvSpPr>
      <xdr:spPr>
        <a:xfrm>
          <a:off x="16058029" y="9000361"/>
          <a:ext cx="311727" cy="259773"/>
        </a:xfrm>
        <a:prstGeom prst="rightArrow">
          <a:avLst/>
        </a:prstGeom>
        <a:solidFill>
          <a:schemeClr val="accent3">
            <a:lumMod val="60000"/>
            <a:lumOff val="40000"/>
          </a:schemeClr>
        </a:solidFill>
        <a:ln w="9525">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rtlCol="0" anchor="t">
          <a:spAutoFit/>
        </a:bodyPr>
        <a:lstStyle/>
        <a:p>
          <a:pPr algn="l"/>
          <a:endParaRPr kumimoji="1" lang="ja-JP" altLang="en-US" sz="1100">
            <a:solidFill>
              <a:sysClr val="windowText" lastClr="000000"/>
            </a:solidFill>
          </a:endParaRPr>
        </a:p>
      </xdr:txBody>
    </xdr:sp>
    <xdr:clientData/>
  </xdr:twoCellAnchor>
  <xdr:oneCellAnchor>
    <xdr:from>
      <xdr:col>16</xdr:col>
      <xdr:colOff>161786</xdr:colOff>
      <xdr:row>37</xdr:row>
      <xdr:rowOff>278047</xdr:rowOff>
    </xdr:from>
    <xdr:ext cx="5688993" cy="1731628"/>
    <xdr:sp macro="" textlink="">
      <xdr:nvSpPr>
        <xdr:cNvPr id="48" name="テキスト ボックス 47">
          <a:extLst>
            <a:ext uri="{FF2B5EF4-FFF2-40B4-BE49-F238E27FC236}">
              <a16:creationId xmlns:a16="http://schemas.microsoft.com/office/drawing/2014/main" id="{00000000-0008-0000-0100-000030000000}"/>
            </a:ext>
          </a:extLst>
        </xdr:cNvPr>
        <xdr:cNvSpPr txBox="1"/>
      </xdr:nvSpPr>
      <xdr:spPr>
        <a:xfrm>
          <a:off x="23759974" y="13434453"/>
          <a:ext cx="5688993" cy="17316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自動停止有機種（</a:t>
          </a:r>
          <a:r>
            <a:rPr kumimoji="1" lang="en-US" altLang="ja-JP" sz="1100">
              <a:solidFill>
                <a:srgbClr val="FF0000"/>
              </a:solidFill>
            </a:rPr>
            <a:t>HEV</a:t>
          </a:r>
          <a:r>
            <a:rPr kumimoji="1" lang="ja-JP" altLang="en-US" sz="1100">
              <a:solidFill>
                <a:srgbClr val="FF0000"/>
              </a:solidFill>
            </a:rPr>
            <a:t>、コンベ</a:t>
          </a:r>
          <a:r>
            <a:rPr kumimoji="1" lang="en-US" altLang="ja-JP" sz="1100">
              <a:solidFill>
                <a:srgbClr val="FF0000"/>
              </a:solidFill>
            </a:rPr>
            <a:t>S&amp;S</a:t>
          </a:r>
          <a:r>
            <a:rPr kumimoji="1" lang="ja-JP" altLang="en-US" sz="1100">
              <a:solidFill>
                <a:srgbClr val="FF0000"/>
              </a:solidFill>
            </a:rPr>
            <a:t>）で</a:t>
          </a:r>
          <a:r>
            <a:rPr kumimoji="1" lang="en-US" altLang="ja-JP" sz="1100">
              <a:solidFill>
                <a:srgbClr val="FF0000"/>
              </a:solidFill>
            </a:rPr>
            <a:t>exst_exastefi</a:t>
          </a:r>
          <a:r>
            <a:rPr kumimoji="1" lang="ja-JP" altLang="en-US" sz="1100">
              <a:solidFill>
                <a:srgbClr val="FF0000"/>
              </a:solidFill>
            </a:rPr>
            <a:t>と</a:t>
          </a:r>
          <a:r>
            <a:rPr kumimoji="1" lang="en-US" altLang="ja-JP" sz="1100">
              <a:solidFill>
                <a:srgbClr val="FF0000"/>
              </a:solidFill>
            </a:rPr>
            <a:t>exst_exastnrm</a:t>
          </a:r>
          <a:r>
            <a:rPr kumimoji="1" lang="ja-JP" altLang="en-US" sz="1100">
              <a:solidFill>
                <a:srgbClr val="FF0000"/>
              </a:solidFill>
            </a:rPr>
            <a:t>の使い分けに注意。</a:t>
          </a:r>
          <a:endParaRPr kumimoji="1" lang="en-US" altLang="ja-JP" sz="1100">
            <a:solidFill>
              <a:srgbClr val="FF0000"/>
            </a:solidFill>
          </a:endParaRPr>
        </a:p>
        <a:p>
          <a:r>
            <a:rPr kumimoji="1" lang="en-US" altLang="ja-JP" sz="1100">
              <a:solidFill>
                <a:srgbClr val="FF0000"/>
              </a:solidFill>
            </a:rPr>
            <a:t>exst_exastefi</a:t>
          </a:r>
          <a:r>
            <a:rPr kumimoji="1" lang="ja-JP" altLang="en-US" sz="1100">
              <a:solidFill>
                <a:srgbClr val="FF0000"/>
              </a:solidFill>
            </a:rPr>
            <a:t>はエンジン回転数のみに基づいて判定をするため</a:t>
          </a:r>
          <a:r>
            <a:rPr kumimoji="1" lang="en-US" altLang="ja-JP" sz="1100">
              <a:solidFill>
                <a:srgbClr val="FF0000"/>
              </a:solidFill>
            </a:rPr>
            <a:t>IG-SW</a:t>
          </a:r>
          <a:r>
            <a:rPr kumimoji="1" lang="ja-JP" altLang="en-US" sz="1100">
              <a:solidFill>
                <a:srgbClr val="FF0000"/>
              </a:solidFill>
            </a:rPr>
            <a:t>の挙動と無関係。</a:t>
          </a:r>
          <a:br>
            <a:rPr kumimoji="1" lang="en-US" altLang="ja-JP" sz="1100">
              <a:solidFill>
                <a:srgbClr val="FF0000"/>
              </a:solidFill>
            </a:rPr>
          </a:br>
          <a:r>
            <a:rPr kumimoji="1" lang="en-US" altLang="ja-JP" sz="1100">
              <a:solidFill>
                <a:srgbClr val="FF0000"/>
              </a:solidFill>
            </a:rPr>
            <a:t>IG-SW</a:t>
          </a:r>
          <a:r>
            <a:rPr kumimoji="1" lang="ja-JP" altLang="en-US" sz="1100">
              <a:solidFill>
                <a:srgbClr val="FF0000"/>
              </a:solidFill>
            </a:rPr>
            <a:t>の挙動の考慮が必要なときは</a:t>
          </a:r>
          <a:r>
            <a:rPr kumimoji="1" lang="en-US" altLang="ja-JP" sz="1100">
              <a:solidFill>
                <a:srgbClr val="FF0000"/>
              </a:solidFill>
            </a:rPr>
            <a:t>exst_exastnrm</a:t>
          </a:r>
          <a:r>
            <a:rPr kumimoji="1" lang="ja-JP" altLang="en-US" sz="1100">
              <a:solidFill>
                <a:srgbClr val="FF0000"/>
              </a:solidFill>
            </a:rPr>
            <a:t>の参照要否を検討すること。</a:t>
          </a:r>
          <a:endParaRPr kumimoji="1" lang="en-US" altLang="ja-JP" sz="1100">
            <a:solidFill>
              <a:srgbClr val="FF0000"/>
            </a:solidFill>
          </a:endParaRPr>
        </a:p>
        <a:p>
          <a:r>
            <a:rPr kumimoji="1" lang="en-US" altLang="ja-JP" sz="1100">
              <a:solidFill>
                <a:srgbClr val="FF0000"/>
              </a:solidFill>
            </a:rPr>
            <a:t>&lt;ver2.07</a:t>
          </a:r>
          <a:r>
            <a:rPr kumimoji="1" lang="ja-JP" altLang="en-US" sz="1100">
              <a:solidFill>
                <a:srgbClr val="FF0000"/>
              </a:solidFill>
            </a:rPr>
            <a:t>で追加</a:t>
          </a:r>
          <a:r>
            <a:rPr kumimoji="1" lang="en-US" altLang="ja-JP" sz="1100">
              <a:solidFill>
                <a:srgbClr val="FF0000"/>
              </a:solidFill>
            </a:rPr>
            <a:t>&gt;</a:t>
          </a:r>
        </a:p>
        <a:p>
          <a:r>
            <a:rPr kumimoji="1" lang="ja-JP" altLang="en-US" sz="1100">
              <a:solidFill>
                <a:srgbClr val="FF0000"/>
              </a:solidFill>
            </a:rPr>
            <a:t>・</a:t>
          </a:r>
          <a:r>
            <a:rPr kumimoji="1" lang="en-US" altLang="ja-JP" sz="1100">
              <a:solidFill>
                <a:srgbClr val="FF0000"/>
              </a:solidFill>
            </a:rPr>
            <a:t>exst_exastinj</a:t>
          </a:r>
          <a:r>
            <a:rPr kumimoji="1" lang="ja-JP" altLang="en-US" sz="1100">
              <a:solidFill>
                <a:srgbClr val="FF0000"/>
              </a:solidFill>
            </a:rPr>
            <a:t>を削除</a:t>
          </a:r>
          <a:r>
            <a:rPr kumimoji="1" lang="en-US" altLang="ja-JP" sz="1100">
              <a:solidFill>
                <a:srgbClr val="FF0000"/>
              </a:solidFill>
            </a:rPr>
            <a:t>(17C</a:t>
          </a:r>
          <a:r>
            <a:rPr kumimoji="1" lang="ja-JP" altLang="en-US" sz="1100">
              <a:solidFill>
                <a:srgbClr val="FF0000"/>
              </a:solidFill>
            </a:rPr>
            <a:t>では参照しない為</a:t>
          </a:r>
          <a:r>
            <a:rPr kumimoji="1" lang="en-US" altLang="ja-JP" sz="1100">
              <a:solidFill>
                <a:srgbClr val="FF0000"/>
              </a:solidFill>
            </a:rPr>
            <a:t>)</a:t>
          </a:r>
        </a:p>
        <a:p>
          <a:r>
            <a:rPr kumimoji="1" lang="ja-JP" altLang="en-US" sz="1100">
              <a:solidFill>
                <a:srgbClr val="FF0000"/>
              </a:solidFill>
            </a:rPr>
            <a:t>・「</a:t>
          </a:r>
          <a:r>
            <a:rPr kumimoji="1" lang="en-US" altLang="ja-JP" sz="1100">
              <a:solidFill>
                <a:srgbClr val="FF0000"/>
              </a:solidFill>
            </a:rPr>
            <a:t>1M-HEV</a:t>
          </a:r>
          <a:r>
            <a:rPr kumimoji="1" lang="ja-JP" altLang="en-US" sz="1100">
              <a:solidFill>
                <a:srgbClr val="FF0000"/>
              </a:solidFill>
            </a:rPr>
            <a:t>のチェンジオブマインド考慮有無」の項目を追加</a:t>
          </a:r>
          <a:endParaRPr kumimoji="1" lang="en-US" altLang="ja-JP" sz="1100">
            <a:solidFill>
              <a:srgbClr val="FF0000"/>
            </a:solidFill>
          </a:endParaRPr>
        </a:p>
        <a:p>
          <a:r>
            <a:rPr kumimoji="1" lang="ja-JP" altLang="en-US" sz="1100">
              <a:solidFill>
                <a:srgbClr val="FF0000"/>
              </a:solidFill>
            </a:rPr>
            <a:t>⇒</a:t>
          </a:r>
          <a:r>
            <a:rPr kumimoji="1" lang="en-US" altLang="ja-JP" sz="1100">
              <a:solidFill>
                <a:srgbClr val="FF0000"/>
              </a:solidFill>
            </a:rPr>
            <a:t>1M-HEV</a:t>
          </a:r>
          <a:r>
            <a:rPr kumimoji="1" lang="ja-JP" altLang="en-US" sz="1100">
              <a:solidFill>
                <a:srgbClr val="FF0000"/>
              </a:solidFill>
            </a:rPr>
            <a:t>の場合、チェンジオブマインド時に</a:t>
          </a:r>
          <a:r>
            <a:rPr kumimoji="1" lang="en-US" altLang="ja-JP" sz="1100">
              <a:solidFill>
                <a:srgbClr val="FF0000"/>
              </a:solidFill>
            </a:rPr>
            <a:t>ene_ene</a:t>
          </a:r>
          <a:r>
            <a:rPr kumimoji="1" lang="ja-JP" altLang="en-US" sz="1100">
              <a:solidFill>
                <a:srgbClr val="FF0000"/>
              </a:solidFill>
            </a:rPr>
            <a:t>＜</a:t>
          </a:r>
          <a:r>
            <a:rPr kumimoji="1" lang="en-US" altLang="ja-JP" sz="1100">
              <a:solidFill>
                <a:srgbClr val="FF0000"/>
              </a:solidFill>
            </a:rPr>
            <a:t>200rpm</a:t>
          </a:r>
          <a:r>
            <a:rPr kumimoji="1" lang="ja-JP" altLang="en-US" sz="1100">
              <a:solidFill>
                <a:srgbClr val="FF0000"/>
              </a:solidFill>
            </a:rPr>
            <a:t>とならずに再始動するパターン</a:t>
          </a:r>
          <a:endParaRPr kumimoji="1" lang="en-US" altLang="ja-JP" sz="1100">
            <a:solidFill>
              <a:srgbClr val="FF0000"/>
            </a:solidFill>
          </a:endParaRPr>
        </a:p>
        <a:p>
          <a:r>
            <a:rPr kumimoji="1" lang="ja-JP" altLang="en-US" sz="1100">
              <a:solidFill>
                <a:srgbClr val="FF0000"/>
              </a:solidFill>
            </a:rPr>
            <a:t>　　があるので、考慮が必要かを検討して参照すべき変数を検討すること</a:t>
          </a:r>
          <a:endParaRPr kumimoji="1" lang="en-US" altLang="ja-JP" sz="1100">
            <a:solidFill>
              <a:srgbClr val="FF0000"/>
            </a:solidFill>
          </a:endParaRPr>
        </a:p>
        <a:p>
          <a:r>
            <a:rPr kumimoji="1" lang="ja-JP" altLang="en-US" sz="1100">
              <a:solidFill>
                <a:srgbClr val="FF0000"/>
              </a:solidFill>
            </a:rPr>
            <a:t>　　（詳細を知りたい場合は</a:t>
          </a:r>
          <a:r>
            <a:rPr kumimoji="1" lang="en-US" altLang="ja-JP" sz="1100">
              <a:solidFill>
                <a:srgbClr val="FF0000"/>
              </a:solidFill>
            </a:rPr>
            <a:t>24F5G</a:t>
          </a:r>
          <a:r>
            <a:rPr kumimoji="1" lang="ja-JP" altLang="en-US" sz="1100">
              <a:solidFill>
                <a:srgbClr val="FF0000"/>
              </a:solidFill>
            </a:rPr>
            <a:t>加地まで）</a:t>
          </a:r>
          <a:endParaRPr kumimoji="1" lang="en-US" altLang="ja-JP" sz="1100">
            <a:solidFill>
              <a:srgbClr val="FF0000"/>
            </a:solidFill>
          </a:endParaRPr>
        </a:p>
      </xdr:txBody>
    </xdr:sp>
    <xdr:clientData/>
  </xdr:oneCellAnchor>
  <xdr:twoCellAnchor editAs="oneCell">
    <xdr:from>
      <xdr:col>5</xdr:col>
      <xdr:colOff>357188</xdr:colOff>
      <xdr:row>37</xdr:row>
      <xdr:rowOff>1</xdr:rowOff>
    </xdr:from>
    <xdr:to>
      <xdr:col>16</xdr:col>
      <xdr:colOff>58130</xdr:colOff>
      <xdr:row>42</xdr:row>
      <xdr:rowOff>214312</xdr:rowOff>
    </xdr:to>
    <xdr:pic>
      <xdr:nvPicPr>
        <xdr:cNvPr id="6" name="図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359188" y="13156407"/>
          <a:ext cx="7297130" cy="2595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38100</xdr:colOff>
      <xdr:row>1</xdr:row>
      <xdr:rowOff>28575</xdr:rowOff>
    </xdr:from>
    <xdr:to>
      <xdr:col>40</xdr:col>
      <xdr:colOff>228600</xdr:colOff>
      <xdr:row>4</xdr:row>
      <xdr:rowOff>314061</xdr:rowOff>
    </xdr:to>
    <xdr:pic>
      <xdr:nvPicPr>
        <xdr:cNvPr id="9" name="図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5076825" y="247650"/>
          <a:ext cx="6381750" cy="14761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1914525</xdr:colOff>
          <xdr:row>0</xdr:row>
          <xdr:rowOff>57150</xdr:rowOff>
        </xdr:from>
        <xdr:to>
          <xdr:col>2</xdr:col>
          <xdr:colOff>2676525</xdr:colOff>
          <xdr:row>1</xdr:row>
          <xdr:rowOff>409575</xdr:rowOff>
        </xdr:to>
        <xdr:sp macro="" textlink="">
          <xdr:nvSpPr>
            <xdr:cNvPr id="17409" name="Object 1" hidden="1">
              <a:extLst>
                <a:ext uri="{63B3BB69-23CF-44E3-9099-C40C66FF867C}">
                  <a14:compatExt spid="_x0000_s17409"/>
                </a:ext>
                <a:ext uri="{FF2B5EF4-FFF2-40B4-BE49-F238E27FC236}">
                  <a16:creationId xmlns:a16="http://schemas.microsoft.com/office/drawing/2014/main" id="{00000000-0008-0000-0200-0000014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oneCellAnchor>
    <xdr:from>
      <xdr:col>17</xdr:col>
      <xdr:colOff>95250</xdr:colOff>
      <xdr:row>4</xdr:row>
      <xdr:rowOff>247650</xdr:rowOff>
    </xdr:from>
    <xdr:ext cx="1260986" cy="392415"/>
    <xdr:sp macro="" textlink="">
      <xdr:nvSpPr>
        <xdr:cNvPr id="2" name="テキスト ボックス 1">
          <a:extLst>
            <a:ext uri="{FF2B5EF4-FFF2-40B4-BE49-F238E27FC236}">
              <a16:creationId xmlns:a16="http://schemas.microsoft.com/office/drawing/2014/main" id="{00000000-0008-0000-0200-000002000000}"/>
            </a:ext>
          </a:extLst>
        </xdr:cNvPr>
        <xdr:cNvSpPr txBox="1"/>
      </xdr:nvSpPr>
      <xdr:spPr>
        <a:xfrm>
          <a:off x="5629275" y="1657350"/>
          <a:ext cx="1260986" cy="392415"/>
        </a:xfrm>
        <a:prstGeom prst="rect">
          <a:avLst/>
        </a:prstGeom>
        <a:solidFill>
          <a:srgbClr val="FFFF00"/>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solidFill>
                <a:srgbClr val="0000FF"/>
              </a:solidFill>
            </a:rPr>
            <a:t>↓</a:t>
          </a:r>
          <a:r>
            <a:rPr kumimoji="1" lang="en-US" altLang="ja-JP" sz="1800" b="1">
              <a:solidFill>
                <a:srgbClr val="0000FF"/>
              </a:solidFill>
            </a:rPr>
            <a:t>CAN</a:t>
          </a:r>
          <a:r>
            <a:rPr kumimoji="1" lang="ja-JP" altLang="en-US" sz="1800" b="1">
              <a:solidFill>
                <a:srgbClr val="0000FF"/>
              </a:solidFill>
            </a:rPr>
            <a:t>信号</a:t>
          </a:r>
        </a:p>
      </xdr:txBody>
    </xdr:sp>
    <xdr:clientData/>
  </xdr:oneCellAnchor>
  <xdr:oneCellAnchor>
    <xdr:from>
      <xdr:col>38</xdr:col>
      <xdr:colOff>38100</xdr:colOff>
      <xdr:row>3</xdr:row>
      <xdr:rowOff>200025</xdr:rowOff>
    </xdr:from>
    <xdr:ext cx="1811073" cy="692497"/>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10772775" y="1314450"/>
          <a:ext cx="1811073" cy="692497"/>
        </a:xfrm>
        <a:prstGeom prst="rect">
          <a:avLst/>
        </a:prstGeom>
        <a:solidFill>
          <a:srgbClr val="FFFF00"/>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solidFill>
                <a:srgbClr val="0000FF"/>
              </a:solidFill>
            </a:rPr>
            <a:t>↓他ドメイン変数</a:t>
          </a:r>
          <a:endParaRPr kumimoji="1" lang="en-US" altLang="ja-JP" sz="1800" b="1">
            <a:solidFill>
              <a:srgbClr val="0000FF"/>
            </a:solidFill>
          </a:endParaRPr>
        </a:p>
        <a:p>
          <a:r>
            <a:rPr kumimoji="1" lang="en-US" altLang="ja-JP" sz="1800" b="1">
              <a:solidFill>
                <a:srgbClr val="0000FF"/>
              </a:solidFill>
            </a:rPr>
            <a:t>    (</a:t>
          </a:r>
          <a:r>
            <a:rPr kumimoji="1" lang="ja-JP" altLang="en-US" sz="1800" b="1">
              <a:solidFill>
                <a:srgbClr val="0000FF"/>
              </a:solidFill>
            </a:rPr>
            <a:t>例は</a:t>
          </a:r>
          <a:r>
            <a:rPr kumimoji="1" lang="en-US" altLang="ja-JP" sz="1800" b="1">
              <a:solidFill>
                <a:srgbClr val="0000FF"/>
              </a:solidFill>
            </a:rPr>
            <a:t>SAC)</a:t>
          </a:r>
          <a:endParaRPr kumimoji="1" lang="ja-JP" altLang="en-US" sz="1800" b="1">
            <a:solidFill>
              <a:srgbClr val="0000FF"/>
            </a:solidFill>
          </a:endParaRPr>
        </a:p>
      </xdr:txBody>
    </xdr:sp>
    <xdr:clientData/>
  </xdr:oneCellAnchor>
  <xdr:oneCellAnchor>
    <xdr:from>
      <xdr:col>50</xdr:col>
      <xdr:colOff>28575</xdr:colOff>
      <xdr:row>4</xdr:row>
      <xdr:rowOff>152400</xdr:rowOff>
    </xdr:from>
    <xdr:ext cx="857094" cy="392415"/>
    <xdr:sp macro="" textlink="">
      <xdr:nvSpPr>
        <xdr:cNvPr id="4" name="テキスト ボックス 3">
          <a:extLst>
            <a:ext uri="{FF2B5EF4-FFF2-40B4-BE49-F238E27FC236}">
              <a16:creationId xmlns:a16="http://schemas.microsoft.com/office/drawing/2014/main" id="{00000000-0008-0000-0200-000004000000}"/>
            </a:ext>
          </a:extLst>
        </xdr:cNvPr>
        <xdr:cNvSpPr txBox="1"/>
      </xdr:nvSpPr>
      <xdr:spPr>
        <a:xfrm>
          <a:off x="13735050" y="1562100"/>
          <a:ext cx="857094" cy="392415"/>
        </a:xfrm>
        <a:prstGeom prst="rect">
          <a:avLst/>
        </a:prstGeom>
        <a:solidFill>
          <a:srgbClr val="FFFF00"/>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solidFill>
                <a:srgbClr val="0000FF"/>
              </a:solidFill>
            </a:rPr>
            <a:t>↓定数</a:t>
          </a:r>
        </a:p>
      </xdr:txBody>
    </xdr:sp>
    <xdr:clientData/>
  </xdr:oneCellAnchor>
  <xdr:oneCellAnchor>
    <xdr:from>
      <xdr:col>61</xdr:col>
      <xdr:colOff>114300</xdr:colOff>
      <xdr:row>4</xdr:row>
      <xdr:rowOff>180975</xdr:rowOff>
    </xdr:from>
    <xdr:ext cx="857094" cy="392415"/>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6544925" y="1590675"/>
          <a:ext cx="857094" cy="392415"/>
        </a:xfrm>
        <a:prstGeom prst="rect">
          <a:avLst/>
        </a:prstGeom>
        <a:solidFill>
          <a:srgbClr val="FFFF00"/>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solidFill>
                <a:srgbClr val="0000FF"/>
              </a:solidFill>
            </a:rPr>
            <a:t>↓変数</a:t>
          </a:r>
        </a:p>
      </xdr:txBody>
    </xdr:sp>
    <xdr:clientData/>
  </xdr:oneCellAnchor>
  <xdr:oneCellAnchor>
    <xdr:from>
      <xdr:col>72</xdr:col>
      <xdr:colOff>133350</xdr:colOff>
      <xdr:row>4</xdr:row>
      <xdr:rowOff>171450</xdr:rowOff>
    </xdr:from>
    <xdr:ext cx="857094" cy="392415"/>
    <xdr:sp macro="" textlink="">
      <xdr:nvSpPr>
        <xdr:cNvPr id="6" name="テキスト ボックス 5">
          <a:extLst>
            <a:ext uri="{FF2B5EF4-FFF2-40B4-BE49-F238E27FC236}">
              <a16:creationId xmlns:a16="http://schemas.microsoft.com/office/drawing/2014/main" id="{00000000-0008-0000-0200-000006000000}"/>
            </a:ext>
          </a:extLst>
        </xdr:cNvPr>
        <xdr:cNvSpPr txBox="1"/>
      </xdr:nvSpPr>
      <xdr:spPr>
        <a:xfrm>
          <a:off x="19288125" y="1581150"/>
          <a:ext cx="857094" cy="392415"/>
        </a:xfrm>
        <a:prstGeom prst="rect">
          <a:avLst/>
        </a:prstGeom>
        <a:solidFill>
          <a:srgbClr val="FFFF00"/>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solidFill>
                <a:srgbClr val="0000FF"/>
              </a:solidFill>
            </a:rPr>
            <a:t>↓変数</a:t>
          </a:r>
        </a:p>
      </xdr:txBody>
    </xdr:sp>
    <xdr:clientData/>
  </xdr:oneCellAnchor>
  <xdr:oneCellAnchor>
    <xdr:from>
      <xdr:col>83</xdr:col>
      <xdr:colOff>152400</xdr:colOff>
      <xdr:row>4</xdr:row>
      <xdr:rowOff>200025</xdr:rowOff>
    </xdr:from>
    <xdr:ext cx="857094" cy="392415"/>
    <xdr:sp macro="" textlink="">
      <xdr:nvSpPr>
        <xdr:cNvPr id="7" name="テキスト ボックス 6">
          <a:extLst>
            <a:ext uri="{FF2B5EF4-FFF2-40B4-BE49-F238E27FC236}">
              <a16:creationId xmlns:a16="http://schemas.microsoft.com/office/drawing/2014/main" id="{00000000-0008-0000-0200-000007000000}"/>
            </a:ext>
          </a:extLst>
        </xdr:cNvPr>
        <xdr:cNvSpPr txBox="1"/>
      </xdr:nvSpPr>
      <xdr:spPr>
        <a:xfrm>
          <a:off x="22031325" y="1609725"/>
          <a:ext cx="857094" cy="392415"/>
        </a:xfrm>
        <a:prstGeom prst="rect">
          <a:avLst/>
        </a:prstGeom>
        <a:solidFill>
          <a:srgbClr val="FFFF00"/>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solidFill>
                <a:srgbClr val="0000FF"/>
              </a:solidFill>
            </a:rPr>
            <a:t>↓変数</a:t>
          </a:r>
        </a:p>
      </xdr:txBody>
    </xdr:sp>
    <xdr:clientData/>
  </xdr:oneCellAnchor>
  <xdr:oneCellAnchor>
    <xdr:from>
      <xdr:col>28</xdr:col>
      <xdr:colOff>9525</xdr:colOff>
      <xdr:row>4</xdr:row>
      <xdr:rowOff>190500</xdr:rowOff>
    </xdr:from>
    <xdr:ext cx="1260986" cy="392415"/>
    <xdr:sp macro="" textlink="">
      <xdr:nvSpPr>
        <xdr:cNvPr id="8" name="テキスト ボックス 7">
          <a:extLst>
            <a:ext uri="{FF2B5EF4-FFF2-40B4-BE49-F238E27FC236}">
              <a16:creationId xmlns:a16="http://schemas.microsoft.com/office/drawing/2014/main" id="{00000000-0008-0000-0200-000008000000}"/>
            </a:ext>
          </a:extLst>
        </xdr:cNvPr>
        <xdr:cNvSpPr txBox="1"/>
      </xdr:nvSpPr>
      <xdr:spPr>
        <a:xfrm>
          <a:off x="8267700" y="1600200"/>
          <a:ext cx="1260986" cy="392415"/>
        </a:xfrm>
        <a:prstGeom prst="rect">
          <a:avLst/>
        </a:prstGeom>
        <a:solidFill>
          <a:srgbClr val="FFFF00"/>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solidFill>
                <a:srgbClr val="0000FF"/>
              </a:solidFill>
            </a:rPr>
            <a:t>↓</a:t>
          </a:r>
          <a:r>
            <a:rPr kumimoji="1" lang="en-US" altLang="ja-JP" sz="1800" b="1">
              <a:solidFill>
                <a:srgbClr val="0000FF"/>
              </a:solidFill>
            </a:rPr>
            <a:t>CAN</a:t>
          </a:r>
          <a:r>
            <a:rPr kumimoji="1" lang="ja-JP" altLang="en-US" sz="1800" b="1">
              <a:solidFill>
                <a:srgbClr val="0000FF"/>
              </a:solidFill>
            </a:rPr>
            <a:t>信号</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885825</xdr:colOff>
      <xdr:row>1</xdr:row>
      <xdr:rowOff>28575</xdr:rowOff>
    </xdr:from>
    <xdr:ext cx="697627" cy="304058"/>
    <xdr:sp macro="" textlink="">
      <xdr:nvSpPr>
        <xdr:cNvPr id="6" name="テキスト ボックス 5">
          <a:extLst>
            <a:ext uri="{FF2B5EF4-FFF2-40B4-BE49-F238E27FC236}">
              <a16:creationId xmlns:a16="http://schemas.microsoft.com/office/drawing/2014/main" id="{00000000-0008-0000-0400-000006000000}"/>
            </a:ext>
          </a:extLst>
        </xdr:cNvPr>
        <xdr:cNvSpPr txBox="1"/>
      </xdr:nvSpPr>
      <xdr:spPr>
        <a:xfrm>
          <a:off x="1323975" y="209550"/>
          <a:ext cx="697627"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Meiryo UI" panose="020B0604030504040204" pitchFamily="50" charset="-128"/>
              <a:ea typeface="Meiryo UI" panose="020B0604030504040204" pitchFamily="50" charset="-128"/>
            </a:rPr>
            <a:t>記載項目</a:t>
          </a:r>
        </a:p>
      </xdr:txBody>
    </xdr:sp>
    <xdr:clientData/>
  </xdr:oneCellAnchor>
  <xdr:oneCellAnchor>
    <xdr:from>
      <xdr:col>1</xdr:col>
      <xdr:colOff>47625</xdr:colOff>
      <xdr:row>1</xdr:row>
      <xdr:rowOff>314325</xdr:rowOff>
    </xdr:from>
    <xdr:ext cx="566181" cy="304058"/>
    <xdr:sp macro="" textlink="">
      <xdr:nvSpPr>
        <xdr:cNvPr id="7" name="テキスト ボックス 6">
          <a:extLst>
            <a:ext uri="{FF2B5EF4-FFF2-40B4-BE49-F238E27FC236}">
              <a16:creationId xmlns:a16="http://schemas.microsoft.com/office/drawing/2014/main" id="{00000000-0008-0000-0400-000007000000}"/>
            </a:ext>
          </a:extLst>
        </xdr:cNvPr>
        <xdr:cNvSpPr txBox="1"/>
      </xdr:nvSpPr>
      <xdr:spPr>
        <a:xfrm>
          <a:off x="485775" y="495300"/>
          <a:ext cx="566181"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Meiryo UI" panose="020B0604030504040204" pitchFamily="50" charset="-128"/>
              <a:ea typeface="Meiryo UI" panose="020B0604030504040204" pitchFamily="50" charset="-128"/>
            </a:rPr>
            <a:t>IF</a:t>
          </a:r>
          <a:r>
            <a:rPr kumimoji="1" lang="ja-JP" altLang="en-US" sz="1000">
              <a:latin typeface="Meiryo UI" panose="020B0604030504040204" pitchFamily="50" charset="-128"/>
              <a:ea typeface="Meiryo UI" panose="020B0604030504040204" pitchFamily="50" charset="-128"/>
            </a:rPr>
            <a:t>種別</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ysClr val="window" lastClr="FFFFFF"/>
        </a:solidFill>
        <a:ln w="12700">
          <a:solidFill>
            <a:sysClr val="windowText" lastClr="000000"/>
          </a:solidFill>
        </a:ln>
      </a:spPr>
      <a:bodyPr vertOverflow="clip" horzOverflow="clip" wrap="none" rtlCol="0" anchor="t">
        <a:spAutoFit/>
      </a:bodyPr>
      <a:lstStyle>
        <a:defPPr algn="l">
          <a:defRPr kumimoji="1" sz="11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f:/r/sites/msspo_ENG_share/Shared%20Documents/%E3%82%A8%E3%83%B3%E3%82%B8%E3%83%B3%E5%88%B6%E5%BE%A1%E5%85%B1%E6%9C%89/%E3%83%9E%E3%83%AB%E3%83%81%E3%82%B3%E3%82%A2%E5%AF%BE%E5%BF%9C/%E3%82%B3%E3%82%A2%E9%85%8D%E7%BD%AE%EF%BC%88%E5%8F%82%E8%80%83%EF%BC%89?csf=1&amp;web=1&amp;e=fw3Odb"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2.xml"/><Relationship Id="rId5" Type="http://schemas.openxmlformats.org/officeDocument/2006/relationships/image" Target="../media/image1.emf"/><Relationship Id="rId4" Type="http://schemas.openxmlformats.org/officeDocument/2006/relationships/package" Target="../embeddings/Microsoft_Excel_Worksheet1.xlsx"/></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28"/>
  <sheetViews>
    <sheetView tabSelected="1" zoomScaleNormal="100" workbookViewId="0"/>
  </sheetViews>
  <sheetFormatPr defaultRowHeight="13.5"/>
  <cols>
    <col min="1" max="1" width="5.5" style="80" customWidth="1"/>
    <col min="2" max="2" width="14.125" style="80" customWidth="1"/>
    <col min="3" max="3" width="36.5" style="80" customWidth="1"/>
    <col min="4" max="4" width="6.75" style="80" bestFit="1" customWidth="1"/>
    <col min="5" max="48" width="3.25" style="80" customWidth="1"/>
    <col min="49" max="16384" width="9" style="80"/>
  </cols>
  <sheetData>
    <row r="1" spans="1:48" ht="26.25" customHeight="1">
      <c r="F1" s="117" t="s">
        <v>300</v>
      </c>
    </row>
    <row r="2" spans="1:48" ht="29.25" customHeight="1">
      <c r="A2" s="78"/>
      <c r="B2" s="79" t="s">
        <v>25</v>
      </c>
    </row>
    <row r="3" spans="1:48" ht="39" customHeight="1">
      <c r="B3" s="81"/>
    </row>
    <row r="4" spans="1:48" ht="23.25" customHeight="1">
      <c r="B4" s="105" t="s">
        <v>9</v>
      </c>
      <c r="C4" s="82" t="str" cm="1">
        <f t="array" aca="1" ref="C4" ca="1">MID(CELL("filename"),FIND("_e",CELL("filename"))+1,FIND(".xls",CELL("filename"))-FIND("_e",CELL("filename"))-1)</f>
        <v>eminj-acw-16-a-t</v>
      </c>
    </row>
    <row r="5" spans="1:48" ht="31.5" customHeight="1">
      <c r="E5" s="120"/>
      <c r="F5" s="120"/>
      <c r="G5" s="121"/>
      <c r="H5" s="121"/>
      <c r="I5" s="121"/>
      <c r="J5" s="121"/>
      <c r="K5" s="121"/>
      <c r="L5" s="121"/>
      <c r="M5" s="121"/>
      <c r="N5" s="121"/>
      <c r="O5" s="121"/>
      <c r="P5" s="121"/>
      <c r="Q5" s="121"/>
      <c r="R5" s="121"/>
      <c r="S5" s="121"/>
    </row>
    <row r="6" spans="1:48" ht="51" customHeight="1">
      <c r="B6" s="81"/>
      <c r="C6" s="82" t="s">
        <v>67</v>
      </c>
      <c r="D6" s="83" t="s">
        <v>143</v>
      </c>
      <c r="E6" s="122" t="s">
        <v>297</v>
      </c>
      <c r="F6" s="113" t="s">
        <v>292</v>
      </c>
      <c r="G6" s="141" t="s">
        <v>307</v>
      </c>
      <c r="H6" s="142"/>
      <c r="I6" s="142"/>
      <c r="J6" s="142"/>
      <c r="K6" s="142"/>
      <c r="L6" s="142"/>
      <c r="M6" s="142"/>
      <c r="N6" s="142"/>
      <c r="O6" s="142"/>
      <c r="P6" s="118"/>
      <c r="Q6" s="113"/>
      <c r="R6" s="143"/>
      <c r="S6" s="144"/>
      <c r="T6" s="144"/>
      <c r="U6" s="144"/>
      <c r="V6" s="144"/>
      <c r="W6" s="144"/>
      <c r="X6" s="144"/>
      <c r="Y6" s="144"/>
      <c r="Z6" s="145"/>
      <c r="AA6" s="118"/>
      <c r="AB6" s="113"/>
      <c r="AC6" s="143"/>
      <c r="AD6" s="144"/>
      <c r="AE6" s="144"/>
      <c r="AF6" s="144"/>
      <c r="AG6" s="144"/>
      <c r="AH6" s="144"/>
      <c r="AI6" s="144"/>
      <c r="AJ6" s="144"/>
      <c r="AK6" s="145"/>
      <c r="AL6" s="122"/>
      <c r="AM6" s="113"/>
      <c r="AN6" s="142"/>
      <c r="AO6" s="142"/>
      <c r="AP6" s="142"/>
      <c r="AQ6" s="142"/>
      <c r="AR6" s="142"/>
      <c r="AS6" s="142"/>
      <c r="AT6" s="142"/>
      <c r="AU6" s="142"/>
      <c r="AV6" s="156"/>
    </row>
    <row r="7" spans="1:48" ht="14.25" thickBot="1">
      <c r="B7" s="84" t="s">
        <v>0</v>
      </c>
      <c r="C7" s="85" t="s">
        <v>8</v>
      </c>
      <c r="D7" s="86"/>
      <c r="E7" s="138" t="s">
        <v>71</v>
      </c>
      <c r="F7" s="139"/>
      <c r="G7" s="139"/>
      <c r="H7" s="139"/>
      <c r="I7" s="139"/>
      <c r="J7" s="139"/>
      <c r="K7" s="139"/>
      <c r="L7" s="139"/>
      <c r="M7" s="139"/>
      <c r="N7" s="139"/>
      <c r="O7" s="140"/>
      <c r="P7" s="138" t="s">
        <v>71</v>
      </c>
      <c r="Q7" s="139"/>
      <c r="R7" s="139"/>
      <c r="S7" s="139"/>
      <c r="T7" s="139"/>
      <c r="U7" s="139"/>
      <c r="V7" s="139"/>
      <c r="W7" s="139"/>
      <c r="X7" s="139"/>
      <c r="Y7" s="139"/>
      <c r="Z7" s="140"/>
      <c r="AA7" s="138" t="s">
        <v>71</v>
      </c>
      <c r="AB7" s="139"/>
      <c r="AC7" s="139"/>
      <c r="AD7" s="139"/>
      <c r="AE7" s="139"/>
      <c r="AF7" s="139"/>
      <c r="AG7" s="139"/>
      <c r="AH7" s="139"/>
      <c r="AI7" s="139"/>
      <c r="AJ7" s="139"/>
      <c r="AK7" s="140"/>
      <c r="AL7" s="138" t="s">
        <v>71</v>
      </c>
      <c r="AM7" s="139"/>
      <c r="AN7" s="139"/>
      <c r="AO7" s="139"/>
      <c r="AP7" s="139"/>
      <c r="AQ7" s="139"/>
      <c r="AR7" s="139"/>
      <c r="AS7" s="139"/>
      <c r="AT7" s="139"/>
      <c r="AU7" s="139"/>
      <c r="AV7" s="140"/>
    </row>
    <row r="8" spans="1:48" ht="253.5" customHeight="1" thickTop="1">
      <c r="B8" s="61" t="s">
        <v>92</v>
      </c>
      <c r="C8" s="62" t="s">
        <v>93</v>
      </c>
      <c r="D8" s="87" t="s">
        <v>144</v>
      </c>
      <c r="E8" s="149" t="s">
        <v>308</v>
      </c>
      <c r="F8" s="150"/>
      <c r="G8" s="151"/>
      <c r="H8" s="151"/>
      <c r="I8" s="151"/>
      <c r="J8" s="151"/>
      <c r="K8" s="151"/>
      <c r="L8" s="151"/>
      <c r="M8" s="151"/>
      <c r="N8" s="151"/>
      <c r="O8" s="152"/>
      <c r="P8" s="153"/>
      <c r="Q8" s="154"/>
      <c r="R8" s="154"/>
      <c r="S8" s="154"/>
      <c r="T8" s="154"/>
      <c r="U8" s="154"/>
      <c r="V8" s="154"/>
      <c r="W8" s="154"/>
      <c r="X8" s="154"/>
      <c r="Y8" s="154"/>
      <c r="Z8" s="155"/>
      <c r="AA8" s="153"/>
      <c r="AB8" s="154"/>
      <c r="AC8" s="154"/>
      <c r="AD8" s="154"/>
      <c r="AE8" s="154"/>
      <c r="AF8" s="154"/>
      <c r="AG8" s="154"/>
      <c r="AH8" s="154"/>
      <c r="AI8" s="154"/>
      <c r="AJ8" s="154"/>
      <c r="AK8" s="155"/>
      <c r="AL8" s="153"/>
      <c r="AM8" s="154"/>
      <c r="AN8" s="154"/>
      <c r="AO8" s="154"/>
      <c r="AP8" s="154"/>
      <c r="AQ8" s="154"/>
      <c r="AR8" s="154"/>
      <c r="AS8" s="154"/>
      <c r="AT8" s="154"/>
      <c r="AU8" s="154"/>
      <c r="AV8" s="155"/>
    </row>
    <row r="9" spans="1:48" ht="135.19999999999999" customHeight="1">
      <c r="B9" s="21">
        <v>1</v>
      </c>
      <c r="C9" s="102" t="s">
        <v>228</v>
      </c>
      <c r="D9" s="88" t="s">
        <v>144</v>
      </c>
      <c r="E9" s="146"/>
      <c r="F9" s="147"/>
      <c r="G9" s="147"/>
      <c r="H9" s="147"/>
      <c r="I9" s="147"/>
      <c r="J9" s="147"/>
      <c r="K9" s="147"/>
      <c r="L9" s="147"/>
      <c r="M9" s="147"/>
      <c r="N9" s="147"/>
      <c r="O9" s="148"/>
      <c r="P9" s="146"/>
      <c r="Q9" s="147"/>
      <c r="R9" s="147"/>
      <c r="S9" s="147"/>
      <c r="T9" s="147"/>
      <c r="U9" s="147"/>
      <c r="V9" s="147"/>
      <c r="W9" s="147"/>
      <c r="X9" s="147"/>
      <c r="Y9" s="147"/>
      <c r="Z9" s="148"/>
      <c r="AA9" s="146"/>
      <c r="AB9" s="147"/>
      <c r="AC9" s="147"/>
      <c r="AD9" s="147"/>
      <c r="AE9" s="147"/>
      <c r="AF9" s="147"/>
      <c r="AG9" s="147"/>
      <c r="AH9" s="147"/>
      <c r="AI9" s="147"/>
      <c r="AJ9" s="147"/>
      <c r="AK9" s="148"/>
      <c r="AL9" s="146"/>
      <c r="AM9" s="147"/>
      <c r="AN9" s="147"/>
      <c r="AO9" s="147"/>
      <c r="AP9" s="147"/>
      <c r="AQ9" s="147"/>
      <c r="AR9" s="147"/>
      <c r="AS9" s="147"/>
      <c r="AT9" s="147"/>
      <c r="AU9" s="147"/>
      <c r="AV9" s="148"/>
    </row>
    <row r="10" spans="1:48" ht="27">
      <c r="B10" s="21" t="s">
        <v>34</v>
      </c>
      <c r="C10" s="100" t="s">
        <v>174</v>
      </c>
      <c r="D10" s="88" t="s">
        <v>145</v>
      </c>
      <c r="E10" s="123"/>
      <c r="F10" s="124"/>
      <c r="G10" s="124"/>
      <c r="H10" s="124"/>
      <c r="I10" s="124"/>
      <c r="J10" s="124"/>
      <c r="K10" s="124"/>
      <c r="L10" s="124"/>
      <c r="M10" s="124"/>
      <c r="N10" s="124"/>
      <c r="O10" s="125"/>
      <c r="P10" s="146"/>
      <c r="Q10" s="147"/>
      <c r="R10" s="147"/>
      <c r="S10" s="147"/>
      <c r="T10" s="147"/>
      <c r="U10" s="147"/>
      <c r="V10" s="147"/>
      <c r="W10" s="147"/>
      <c r="X10" s="147"/>
      <c r="Y10" s="147"/>
      <c r="Z10" s="148"/>
      <c r="AA10" s="123"/>
      <c r="AB10" s="124"/>
      <c r="AC10" s="124"/>
      <c r="AD10" s="124"/>
      <c r="AE10" s="124"/>
      <c r="AF10" s="124"/>
      <c r="AG10" s="124"/>
      <c r="AH10" s="124"/>
      <c r="AI10" s="124"/>
      <c r="AJ10" s="124"/>
      <c r="AK10" s="125"/>
      <c r="AL10" s="123"/>
      <c r="AM10" s="124"/>
      <c r="AN10" s="124"/>
      <c r="AO10" s="124"/>
      <c r="AP10" s="124"/>
      <c r="AQ10" s="124"/>
      <c r="AR10" s="124"/>
      <c r="AS10" s="124"/>
      <c r="AT10" s="124"/>
      <c r="AU10" s="124"/>
      <c r="AV10" s="125"/>
    </row>
    <row r="11" spans="1:48" ht="27">
      <c r="B11" s="89" t="s">
        <v>35</v>
      </c>
      <c r="C11" s="29" t="s">
        <v>175</v>
      </c>
      <c r="D11" s="90" t="s">
        <v>145</v>
      </c>
      <c r="E11" s="123"/>
      <c r="F11" s="124"/>
      <c r="G11" s="124"/>
      <c r="H11" s="124"/>
      <c r="I11" s="124"/>
      <c r="J11" s="124"/>
      <c r="K11" s="124"/>
      <c r="L11" s="124"/>
      <c r="M11" s="124"/>
      <c r="N11" s="124"/>
      <c r="O11" s="125"/>
      <c r="P11" s="123"/>
      <c r="Q11" s="124"/>
      <c r="R11" s="124"/>
      <c r="S11" s="124"/>
      <c r="T11" s="124"/>
      <c r="U11" s="124"/>
      <c r="V11" s="124"/>
      <c r="W11" s="124"/>
      <c r="X11" s="124"/>
      <c r="Y11" s="124"/>
      <c r="Z11" s="125"/>
      <c r="AA11" s="123"/>
      <c r="AB11" s="124"/>
      <c r="AC11" s="124"/>
      <c r="AD11" s="124"/>
      <c r="AE11" s="124"/>
      <c r="AF11" s="124"/>
      <c r="AG11" s="124"/>
      <c r="AH11" s="124"/>
      <c r="AI11" s="124"/>
      <c r="AJ11" s="124"/>
      <c r="AK11" s="125"/>
      <c r="AL11" s="123"/>
      <c r="AM11" s="124"/>
      <c r="AN11" s="124"/>
      <c r="AO11" s="124"/>
      <c r="AP11" s="124"/>
      <c r="AQ11" s="124"/>
      <c r="AR11" s="124"/>
      <c r="AS11" s="124"/>
      <c r="AT11" s="124"/>
      <c r="AU11" s="124"/>
      <c r="AV11" s="125"/>
    </row>
    <row r="12" spans="1:48" ht="72" customHeight="1">
      <c r="B12" s="21" t="s">
        <v>204</v>
      </c>
      <c r="C12" s="93" t="s">
        <v>205</v>
      </c>
      <c r="D12" s="90" t="s">
        <v>145</v>
      </c>
      <c r="E12" s="123"/>
      <c r="F12" s="124"/>
      <c r="G12" s="124"/>
      <c r="H12" s="124"/>
      <c r="I12" s="124"/>
      <c r="J12" s="124"/>
      <c r="K12" s="124"/>
      <c r="L12" s="124"/>
      <c r="M12" s="124"/>
      <c r="N12" s="124"/>
      <c r="O12" s="125"/>
      <c r="P12" s="123"/>
      <c r="Q12" s="124"/>
      <c r="R12" s="124"/>
      <c r="S12" s="124"/>
      <c r="T12" s="124"/>
      <c r="U12" s="124"/>
      <c r="V12" s="124"/>
      <c r="W12" s="124"/>
      <c r="X12" s="124"/>
      <c r="Y12" s="124"/>
      <c r="Z12" s="125"/>
      <c r="AA12" s="123"/>
      <c r="AB12" s="124"/>
      <c r="AC12" s="124"/>
      <c r="AD12" s="124"/>
      <c r="AE12" s="124"/>
      <c r="AF12" s="124"/>
      <c r="AG12" s="124"/>
      <c r="AH12" s="124"/>
      <c r="AI12" s="124"/>
      <c r="AJ12" s="124"/>
      <c r="AK12" s="125"/>
      <c r="AL12" s="123"/>
      <c r="AM12" s="124"/>
      <c r="AN12" s="124"/>
      <c r="AO12" s="124"/>
      <c r="AP12" s="124"/>
      <c r="AQ12" s="124"/>
      <c r="AR12" s="124"/>
      <c r="AS12" s="124"/>
      <c r="AT12" s="124"/>
      <c r="AU12" s="124"/>
      <c r="AV12" s="125"/>
    </row>
    <row r="13" spans="1:48" ht="81">
      <c r="B13" s="21" t="s">
        <v>178</v>
      </c>
      <c r="C13" s="101" t="s">
        <v>206</v>
      </c>
      <c r="D13" s="90" t="s">
        <v>145</v>
      </c>
      <c r="E13" s="123"/>
      <c r="F13" s="124"/>
      <c r="G13" s="124"/>
      <c r="H13" s="124"/>
      <c r="I13" s="124"/>
      <c r="J13" s="124"/>
      <c r="K13" s="124"/>
      <c r="L13" s="124"/>
      <c r="M13" s="124"/>
      <c r="N13" s="124"/>
      <c r="O13" s="125"/>
      <c r="P13" s="123"/>
      <c r="Q13" s="124"/>
      <c r="R13" s="124"/>
      <c r="S13" s="124"/>
      <c r="T13" s="124"/>
      <c r="U13" s="124"/>
      <c r="V13" s="124"/>
      <c r="W13" s="124"/>
      <c r="X13" s="124"/>
      <c r="Y13" s="124"/>
      <c r="Z13" s="125"/>
      <c r="AA13" s="123"/>
      <c r="AB13" s="124"/>
      <c r="AC13" s="124"/>
      <c r="AD13" s="124"/>
      <c r="AE13" s="124"/>
      <c r="AF13" s="124"/>
      <c r="AG13" s="124"/>
      <c r="AH13" s="124"/>
      <c r="AI13" s="124"/>
      <c r="AJ13" s="124"/>
      <c r="AK13" s="125"/>
      <c r="AL13" s="123"/>
      <c r="AM13" s="124"/>
      <c r="AN13" s="124"/>
      <c r="AO13" s="124"/>
      <c r="AP13" s="124"/>
      <c r="AQ13" s="124"/>
      <c r="AR13" s="124"/>
      <c r="AS13" s="124"/>
      <c r="AT13" s="124"/>
      <c r="AU13" s="124"/>
      <c r="AV13" s="125"/>
    </row>
    <row r="14" spans="1:48" ht="36.75" customHeight="1">
      <c r="B14" s="103" t="s">
        <v>229</v>
      </c>
      <c r="C14" s="29" t="s">
        <v>246</v>
      </c>
      <c r="D14" s="132" t="s">
        <v>145</v>
      </c>
      <c r="E14" s="137" t="s">
        <v>232</v>
      </c>
      <c r="F14" s="128"/>
      <c r="G14" s="128"/>
      <c r="H14" s="128"/>
      <c r="I14" s="128"/>
      <c r="J14" s="128"/>
      <c r="K14" s="128"/>
      <c r="L14" s="128"/>
      <c r="M14" s="128"/>
      <c r="N14" s="128"/>
      <c r="O14" s="129"/>
      <c r="P14" s="123"/>
      <c r="Q14" s="124"/>
      <c r="R14" s="124"/>
      <c r="S14" s="124"/>
      <c r="T14" s="124"/>
      <c r="U14" s="124"/>
      <c r="V14" s="124"/>
      <c r="W14" s="124"/>
      <c r="X14" s="124"/>
      <c r="Y14" s="124"/>
      <c r="Z14" s="125"/>
      <c r="AA14" s="123"/>
      <c r="AB14" s="124"/>
      <c r="AC14" s="124"/>
      <c r="AD14" s="124"/>
      <c r="AE14" s="124"/>
      <c r="AF14" s="124"/>
      <c r="AG14" s="124"/>
      <c r="AH14" s="124"/>
      <c r="AI14" s="124"/>
      <c r="AJ14" s="124"/>
      <c r="AK14" s="125"/>
      <c r="AL14" s="123"/>
      <c r="AM14" s="124"/>
      <c r="AN14" s="124"/>
      <c r="AO14" s="124"/>
      <c r="AP14" s="124"/>
      <c r="AQ14" s="124"/>
      <c r="AR14" s="124"/>
      <c r="AS14" s="124"/>
      <c r="AT14" s="124"/>
      <c r="AU14" s="124"/>
      <c r="AV14" s="125"/>
    </row>
    <row r="15" spans="1:48" ht="148.5">
      <c r="B15" s="103" t="s">
        <v>230</v>
      </c>
      <c r="C15" s="104" t="s">
        <v>245</v>
      </c>
      <c r="D15" s="135"/>
      <c r="E15" s="126" t="s">
        <v>247</v>
      </c>
      <c r="F15" s="127"/>
      <c r="G15" s="128"/>
      <c r="H15" s="128"/>
      <c r="I15" s="128"/>
      <c r="J15" s="128"/>
      <c r="K15" s="128"/>
      <c r="L15" s="128"/>
      <c r="M15" s="128"/>
      <c r="N15" s="128"/>
      <c r="O15" s="129"/>
      <c r="P15" s="123"/>
      <c r="Q15" s="124"/>
      <c r="R15" s="124"/>
      <c r="S15" s="124"/>
      <c r="T15" s="124"/>
      <c r="U15" s="124"/>
      <c r="V15" s="124"/>
      <c r="W15" s="124"/>
      <c r="X15" s="124"/>
      <c r="Y15" s="124"/>
      <c r="Z15" s="125"/>
      <c r="AA15" s="123"/>
      <c r="AB15" s="124"/>
      <c r="AC15" s="124"/>
      <c r="AD15" s="124"/>
      <c r="AE15" s="124"/>
      <c r="AF15" s="124"/>
      <c r="AG15" s="124"/>
      <c r="AH15" s="124"/>
      <c r="AI15" s="124"/>
      <c r="AJ15" s="124"/>
      <c r="AK15" s="125"/>
      <c r="AL15" s="123"/>
      <c r="AM15" s="124"/>
      <c r="AN15" s="124"/>
      <c r="AO15" s="124"/>
      <c r="AP15" s="124"/>
      <c r="AQ15" s="124"/>
      <c r="AR15" s="124"/>
      <c r="AS15" s="124"/>
      <c r="AT15" s="124"/>
      <c r="AU15" s="124"/>
      <c r="AV15" s="125"/>
    </row>
    <row r="16" spans="1:48" ht="66" customHeight="1">
      <c r="B16" s="130" t="s">
        <v>231</v>
      </c>
      <c r="C16" s="132" t="s">
        <v>267</v>
      </c>
      <c r="D16" s="135"/>
      <c r="E16" s="123"/>
      <c r="F16" s="124"/>
      <c r="G16" s="124"/>
      <c r="H16" s="124"/>
      <c r="I16" s="124"/>
      <c r="J16" s="124"/>
      <c r="K16" s="124"/>
      <c r="L16" s="124"/>
      <c r="M16" s="124"/>
      <c r="N16" s="124"/>
      <c r="O16" s="125"/>
      <c r="P16" s="123"/>
      <c r="Q16" s="124"/>
      <c r="R16" s="124"/>
      <c r="S16" s="124"/>
      <c r="T16" s="124"/>
      <c r="U16" s="124"/>
      <c r="V16" s="124"/>
      <c r="W16" s="124"/>
      <c r="X16" s="124"/>
      <c r="Y16" s="124"/>
      <c r="Z16" s="125"/>
      <c r="AA16" s="123"/>
      <c r="AB16" s="124"/>
      <c r="AC16" s="124"/>
      <c r="AD16" s="124"/>
      <c r="AE16" s="124"/>
      <c r="AF16" s="124"/>
      <c r="AG16" s="124"/>
      <c r="AH16" s="124"/>
      <c r="AI16" s="124"/>
      <c r="AJ16" s="124"/>
      <c r="AK16" s="125"/>
      <c r="AL16" s="123"/>
      <c r="AM16" s="124"/>
      <c r="AN16" s="124"/>
      <c r="AO16" s="124"/>
      <c r="AP16" s="124"/>
      <c r="AQ16" s="124"/>
      <c r="AR16" s="124"/>
      <c r="AS16" s="124"/>
      <c r="AT16" s="124"/>
      <c r="AU16" s="124"/>
      <c r="AV16" s="125"/>
    </row>
    <row r="17" spans="2:50" ht="111" customHeight="1">
      <c r="B17" s="131"/>
      <c r="C17" s="133"/>
      <c r="D17" s="136"/>
      <c r="E17" s="126" t="s">
        <v>51</v>
      </c>
      <c r="F17" s="127"/>
      <c r="G17" s="127"/>
      <c r="H17" s="127"/>
      <c r="I17" s="127"/>
      <c r="J17" s="127"/>
      <c r="K17" s="127"/>
      <c r="L17" s="127"/>
      <c r="M17" s="127"/>
      <c r="N17" s="127"/>
      <c r="O17" s="134"/>
      <c r="P17" s="126" t="s">
        <v>51</v>
      </c>
      <c r="Q17" s="127"/>
      <c r="R17" s="127"/>
      <c r="S17" s="127"/>
      <c r="T17" s="127"/>
      <c r="U17" s="127"/>
      <c r="V17" s="127"/>
      <c r="W17" s="127"/>
      <c r="X17" s="127"/>
      <c r="Y17" s="127"/>
      <c r="Z17" s="134"/>
      <c r="AA17" s="126" t="s">
        <v>51</v>
      </c>
      <c r="AB17" s="127"/>
      <c r="AC17" s="127"/>
      <c r="AD17" s="127"/>
      <c r="AE17" s="127"/>
      <c r="AF17" s="127"/>
      <c r="AG17" s="127"/>
      <c r="AH17" s="127"/>
      <c r="AI17" s="127"/>
      <c r="AJ17" s="127"/>
      <c r="AK17" s="134"/>
      <c r="AL17" s="126" t="s">
        <v>51</v>
      </c>
      <c r="AM17" s="127"/>
      <c r="AN17" s="127"/>
      <c r="AO17" s="127"/>
      <c r="AP17" s="127"/>
      <c r="AQ17" s="127"/>
      <c r="AR17" s="127"/>
      <c r="AS17" s="127"/>
      <c r="AT17" s="127"/>
      <c r="AU17" s="127"/>
      <c r="AV17" s="134"/>
    </row>
    <row r="18" spans="2:50" ht="27">
      <c r="B18" s="21" t="s">
        <v>36</v>
      </c>
      <c r="C18" s="29" t="s">
        <v>176</v>
      </c>
      <c r="D18" s="90" t="s">
        <v>146</v>
      </c>
      <c r="E18" s="123"/>
      <c r="F18" s="124"/>
      <c r="G18" s="124"/>
      <c r="H18" s="124"/>
      <c r="I18" s="124"/>
      <c r="J18" s="124"/>
      <c r="K18" s="124"/>
      <c r="L18" s="124"/>
      <c r="M18" s="124"/>
      <c r="N18" s="124"/>
      <c r="O18" s="125"/>
      <c r="P18" s="123"/>
      <c r="Q18" s="124"/>
      <c r="R18" s="124"/>
      <c r="S18" s="124"/>
      <c r="T18" s="124"/>
      <c r="U18" s="124"/>
      <c r="V18" s="124"/>
      <c r="W18" s="124"/>
      <c r="X18" s="124"/>
      <c r="Y18" s="124"/>
      <c r="Z18" s="125"/>
      <c r="AA18" s="123"/>
      <c r="AB18" s="124"/>
      <c r="AC18" s="124"/>
      <c r="AD18" s="124"/>
      <c r="AE18" s="124"/>
      <c r="AF18" s="124"/>
      <c r="AG18" s="124"/>
      <c r="AH18" s="124"/>
      <c r="AI18" s="124"/>
      <c r="AJ18" s="124"/>
      <c r="AK18" s="125"/>
      <c r="AL18" s="123"/>
      <c r="AM18" s="124"/>
      <c r="AN18" s="124"/>
      <c r="AO18" s="124"/>
      <c r="AP18" s="124"/>
      <c r="AQ18" s="124"/>
      <c r="AR18" s="124"/>
      <c r="AS18" s="124"/>
      <c r="AT18" s="124"/>
      <c r="AU18" s="124"/>
      <c r="AV18" s="125"/>
      <c r="AX18" s="91"/>
    </row>
    <row r="19" spans="2:50" ht="40.5">
      <c r="B19" s="89" t="s">
        <v>37</v>
      </c>
      <c r="C19" s="29" t="s">
        <v>177</v>
      </c>
      <c r="D19" s="90" t="s">
        <v>145</v>
      </c>
      <c r="E19" s="123"/>
      <c r="F19" s="124"/>
      <c r="G19" s="124"/>
      <c r="H19" s="124"/>
      <c r="I19" s="124"/>
      <c r="J19" s="124"/>
      <c r="K19" s="124"/>
      <c r="L19" s="124"/>
      <c r="M19" s="124"/>
      <c r="N19" s="124"/>
      <c r="O19" s="125"/>
      <c r="P19" s="123"/>
      <c r="Q19" s="124"/>
      <c r="R19" s="124"/>
      <c r="S19" s="124"/>
      <c r="T19" s="124"/>
      <c r="U19" s="124"/>
      <c r="V19" s="124"/>
      <c r="W19" s="124"/>
      <c r="X19" s="124"/>
      <c r="Y19" s="124"/>
      <c r="Z19" s="125"/>
      <c r="AA19" s="123"/>
      <c r="AB19" s="124"/>
      <c r="AC19" s="124"/>
      <c r="AD19" s="124"/>
      <c r="AE19" s="124"/>
      <c r="AF19" s="124"/>
      <c r="AG19" s="124"/>
      <c r="AH19" s="124"/>
      <c r="AI19" s="124"/>
      <c r="AJ19" s="124"/>
      <c r="AK19" s="125"/>
      <c r="AL19" s="123"/>
      <c r="AM19" s="124"/>
      <c r="AN19" s="124"/>
      <c r="AO19" s="124"/>
      <c r="AP19" s="124"/>
      <c r="AQ19" s="124"/>
      <c r="AR19" s="124"/>
      <c r="AS19" s="124"/>
      <c r="AT19" s="124"/>
      <c r="AU19" s="124"/>
      <c r="AV19" s="125"/>
      <c r="AX19" s="91"/>
    </row>
    <row r="20" spans="2:50" ht="27">
      <c r="B20" s="21" t="s">
        <v>38</v>
      </c>
      <c r="C20" s="29" t="s">
        <v>49</v>
      </c>
      <c r="D20" s="90" t="s">
        <v>145</v>
      </c>
      <c r="E20" s="123"/>
      <c r="F20" s="124"/>
      <c r="G20" s="124"/>
      <c r="H20" s="124"/>
      <c r="I20" s="124"/>
      <c r="J20" s="124"/>
      <c r="K20" s="124"/>
      <c r="L20" s="124"/>
      <c r="M20" s="124"/>
      <c r="N20" s="124"/>
      <c r="O20" s="125"/>
      <c r="P20" s="123"/>
      <c r="Q20" s="124"/>
      <c r="R20" s="124"/>
      <c r="S20" s="124"/>
      <c r="T20" s="124"/>
      <c r="U20" s="124"/>
      <c r="V20" s="124"/>
      <c r="W20" s="124"/>
      <c r="X20" s="124"/>
      <c r="Y20" s="124"/>
      <c r="Z20" s="125"/>
      <c r="AA20" s="123"/>
      <c r="AB20" s="124"/>
      <c r="AC20" s="124"/>
      <c r="AD20" s="124"/>
      <c r="AE20" s="124"/>
      <c r="AF20" s="124"/>
      <c r="AG20" s="124"/>
      <c r="AH20" s="124"/>
      <c r="AI20" s="124"/>
      <c r="AJ20" s="124"/>
      <c r="AK20" s="125"/>
      <c r="AL20" s="123"/>
      <c r="AM20" s="124"/>
      <c r="AN20" s="124"/>
      <c r="AO20" s="124"/>
      <c r="AP20" s="124"/>
      <c r="AQ20" s="124"/>
      <c r="AR20" s="124"/>
      <c r="AS20" s="124"/>
      <c r="AT20" s="124"/>
      <c r="AU20" s="124"/>
      <c r="AV20" s="125"/>
    </row>
    <row r="21" spans="2:50">
      <c r="B21" s="89" t="s">
        <v>39</v>
      </c>
      <c r="C21" s="29" t="s">
        <v>31</v>
      </c>
      <c r="D21" s="90" t="s">
        <v>145</v>
      </c>
      <c r="E21" s="123"/>
      <c r="F21" s="124"/>
      <c r="G21" s="124"/>
      <c r="H21" s="124"/>
      <c r="I21" s="124"/>
      <c r="J21" s="124"/>
      <c r="K21" s="124"/>
      <c r="L21" s="124"/>
      <c r="M21" s="124"/>
      <c r="N21" s="124"/>
      <c r="O21" s="125"/>
      <c r="P21" s="123"/>
      <c r="Q21" s="124"/>
      <c r="R21" s="124"/>
      <c r="S21" s="124"/>
      <c r="T21" s="124"/>
      <c r="U21" s="124"/>
      <c r="V21" s="124"/>
      <c r="W21" s="124"/>
      <c r="X21" s="124"/>
      <c r="Y21" s="124"/>
      <c r="Z21" s="125"/>
      <c r="AA21" s="123"/>
      <c r="AB21" s="124"/>
      <c r="AC21" s="124"/>
      <c r="AD21" s="124"/>
      <c r="AE21" s="124"/>
      <c r="AF21" s="124"/>
      <c r="AG21" s="124"/>
      <c r="AH21" s="124"/>
      <c r="AI21" s="124"/>
      <c r="AJ21" s="124"/>
      <c r="AK21" s="125"/>
      <c r="AL21" s="123"/>
      <c r="AM21" s="124"/>
      <c r="AN21" s="124"/>
      <c r="AO21" s="124"/>
      <c r="AP21" s="124"/>
      <c r="AQ21" s="124"/>
      <c r="AR21" s="124"/>
      <c r="AS21" s="124"/>
      <c r="AT21" s="124"/>
      <c r="AU21" s="124"/>
      <c r="AV21" s="125"/>
    </row>
    <row r="22" spans="2:50">
      <c r="B22" s="21" t="s">
        <v>40</v>
      </c>
      <c r="C22" s="29" t="s">
        <v>21</v>
      </c>
      <c r="D22" s="90" t="s">
        <v>145</v>
      </c>
      <c r="E22" s="123"/>
      <c r="F22" s="124"/>
      <c r="G22" s="124"/>
      <c r="H22" s="124"/>
      <c r="I22" s="124"/>
      <c r="J22" s="124"/>
      <c r="K22" s="124"/>
      <c r="L22" s="124"/>
      <c r="M22" s="124"/>
      <c r="N22" s="124"/>
      <c r="O22" s="125"/>
      <c r="P22" s="123"/>
      <c r="Q22" s="124"/>
      <c r="R22" s="124"/>
      <c r="S22" s="124"/>
      <c r="T22" s="124"/>
      <c r="U22" s="124"/>
      <c r="V22" s="124"/>
      <c r="W22" s="124"/>
      <c r="X22" s="124"/>
      <c r="Y22" s="124"/>
      <c r="Z22" s="125"/>
      <c r="AA22" s="123"/>
      <c r="AB22" s="124"/>
      <c r="AC22" s="124"/>
      <c r="AD22" s="124"/>
      <c r="AE22" s="124"/>
      <c r="AF22" s="124"/>
      <c r="AG22" s="124"/>
      <c r="AH22" s="124"/>
      <c r="AI22" s="124"/>
      <c r="AJ22" s="124"/>
      <c r="AK22" s="125"/>
      <c r="AL22" s="123"/>
      <c r="AM22" s="124"/>
      <c r="AN22" s="124"/>
      <c r="AO22" s="124"/>
      <c r="AP22" s="124"/>
      <c r="AQ22" s="124"/>
      <c r="AR22" s="124"/>
      <c r="AS22" s="124"/>
      <c r="AT22" s="124"/>
      <c r="AU22" s="124"/>
      <c r="AV22" s="125"/>
    </row>
    <row r="23" spans="2:50" ht="27">
      <c r="B23" s="89" t="s">
        <v>41</v>
      </c>
      <c r="C23" s="92" t="s">
        <v>46</v>
      </c>
      <c r="D23" s="93" t="s">
        <v>145</v>
      </c>
      <c r="E23" s="123"/>
      <c r="F23" s="124"/>
      <c r="G23" s="124"/>
      <c r="H23" s="124"/>
      <c r="I23" s="124"/>
      <c r="J23" s="124"/>
      <c r="K23" s="124"/>
      <c r="L23" s="124"/>
      <c r="M23" s="124"/>
      <c r="N23" s="124"/>
      <c r="O23" s="125"/>
      <c r="P23" s="123"/>
      <c r="Q23" s="124"/>
      <c r="R23" s="124"/>
      <c r="S23" s="124"/>
      <c r="T23" s="124"/>
      <c r="U23" s="124"/>
      <c r="V23" s="124"/>
      <c r="W23" s="124"/>
      <c r="X23" s="124"/>
      <c r="Y23" s="124"/>
      <c r="Z23" s="125"/>
      <c r="AA23" s="123"/>
      <c r="AB23" s="124"/>
      <c r="AC23" s="124"/>
      <c r="AD23" s="124"/>
      <c r="AE23" s="124"/>
      <c r="AF23" s="124"/>
      <c r="AG23" s="124"/>
      <c r="AH23" s="124"/>
      <c r="AI23" s="124"/>
      <c r="AJ23" s="124"/>
      <c r="AK23" s="125"/>
      <c r="AL23" s="123"/>
      <c r="AM23" s="124"/>
      <c r="AN23" s="124"/>
      <c r="AO23" s="124"/>
      <c r="AP23" s="124"/>
      <c r="AQ23" s="124"/>
      <c r="AR23" s="124"/>
      <c r="AS23" s="124"/>
      <c r="AT23" s="124"/>
      <c r="AU23" s="124"/>
      <c r="AV23" s="125"/>
    </row>
    <row r="24" spans="2:50">
      <c r="B24" s="21" t="s">
        <v>79</v>
      </c>
      <c r="C24" s="92" t="s">
        <v>85</v>
      </c>
      <c r="D24" s="93" t="s">
        <v>145</v>
      </c>
      <c r="E24" s="123"/>
      <c r="F24" s="124"/>
      <c r="G24" s="124"/>
      <c r="H24" s="124"/>
      <c r="I24" s="124"/>
      <c r="J24" s="124"/>
      <c r="K24" s="124"/>
      <c r="L24" s="124"/>
      <c r="M24" s="124"/>
      <c r="N24" s="124"/>
      <c r="O24" s="125"/>
      <c r="P24" s="123"/>
      <c r="Q24" s="124"/>
      <c r="R24" s="124"/>
      <c r="S24" s="124"/>
      <c r="T24" s="124"/>
      <c r="U24" s="124"/>
      <c r="V24" s="124"/>
      <c r="W24" s="124"/>
      <c r="X24" s="124"/>
      <c r="Y24" s="124"/>
      <c r="Z24" s="125"/>
      <c r="AA24" s="123"/>
      <c r="AB24" s="124"/>
      <c r="AC24" s="124"/>
      <c r="AD24" s="124"/>
      <c r="AE24" s="124"/>
      <c r="AF24" s="124"/>
      <c r="AG24" s="124"/>
      <c r="AH24" s="124"/>
      <c r="AI24" s="124"/>
      <c r="AJ24" s="124"/>
      <c r="AK24" s="125"/>
      <c r="AL24" s="123"/>
      <c r="AM24" s="124"/>
      <c r="AN24" s="124"/>
      <c r="AO24" s="124"/>
      <c r="AP24" s="124"/>
      <c r="AQ24" s="124"/>
      <c r="AR24" s="124"/>
      <c r="AS24" s="124"/>
      <c r="AT24" s="124"/>
      <c r="AU24" s="124"/>
      <c r="AV24" s="125"/>
    </row>
    <row r="25" spans="2:50" ht="54">
      <c r="B25" s="21" t="s">
        <v>54</v>
      </c>
      <c r="C25" s="29" t="s">
        <v>47</v>
      </c>
      <c r="D25" s="90" t="s">
        <v>145</v>
      </c>
      <c r="E25" s="123"/>
      <c r="F25" s="124"/>
      <c r="G25" s="124"/>
      <c r="H25" s="124"/>
      <c r="I25" s="124"/>
      <c r="J25" s="124"/>
      <c r="K25" s="124"/>
      <c r="L25" s="124"/>
      <c r="M25" s="124"/>
      <c r="N25" s="124"/>
      <c r="O25" s="125"/>
      <c r="P25" s="123"/>
      <c r="Q25" s="124"/>
      <c r="R25" s="124"/>
      <c r="S25" s="124"/>
      <c r="T25" s="124"/>
      <c r="U25" s="124"/>
      <c r="V25" s="124"/>
      <c r="W25" s="124"/>
      <c r="X25" s="124"/>
      <c r="Y25" s="124"/>
      <c r="Z25" s="125"/>
      <c r="AA25" s="123"/>
      <c r="AB25" s="124"/>
      <c r="AC25" s="124"/>
      <c r="AD25" s="124"/>
      <c r="AE25" s="124"/>
      <c r="AF25" s="124"/>
      <c r="AG25" s="124"/>
      <c r="AH25" s="124"/>
      <c r="AI25" s="124"/>
      <c r="AJ25" s="124"/>
      <c r="AK25" s="125"/>
      <c r="AL25" s="123"/>
      <c r="AM25" s="124"/>
      <c r="AN25" s="124"/>
      <c r="AO25" s="124"/>
      <c r="AP25" s="124"/>
      <c r="AQ25" s="124"/>
      <c r="AR25" s="124"/>
      <c r="AS25" s="124"/>
      <c r="AT25" s="124"/>
      <c r="AU25" s="124"/>
      <c r="AV25" s="125"/>
    </row>
    <row r="26" spans="2:50" ht="40.5">
      <c r="B26" s="22" t="s">
        <v>55</v>
      </c>
      <c r="C26" s="29" t="s">
        <v>56</v>
      </c>
      <c r="D26" s="90" t="s">
        <v>145</v>
      </c>
      <c r="E26" s="123"/>
      <c r="F26" s="124"/>
      <c r="G26" s="124"/>
      <c r="H26" s="124"/>
      <c r="I26" s="124"/>
      <c r="J26" s="124"/>
      <c r="K26" s="124"/>
      <c r="L26" s="124"/>
      <c r="M26" s="124"/>
      <c r="N26" s="124"/>
      <c r="O26" s="125"/>
      <c r="P26" s="123"/>
      <c r="Q26" s="124"/>
      <c r="R26" s="124"/>
      <c r="S26" s="124"/>
      <c r="T26" s="124"/>
      <c r="U26" s="124"/>
      <c r="V26" s="124"/>
      <c r="W26" s="124"/>
      <c r="X26" s="124"/>
      <c r="Y26" s="124"/>
      <c r="Z26" s="125"/>
      <c r="AA26" s="123"/>
      <c r="AB26" s="124"/>
      <c r="AC26" s="124"/>
      <c r="AD26" s="124"/>
      <c r="AE26" s="124"/>
      <c r="AF26" s="124"/>
      <c r="AG26" s="124"/>
      <c r="AH26" s="124"/>
      <c r="AI26" s="124"/>
      <c r="AJ26" s="124"/>
      <c r="AK26" s="125"/>
      <c r="AL26" s="123"/>
      <c r="AM26" s="124"/>
      <c r="AN26" s="124"/>
      <c r="AO26" s="124"/>
      <c r="AP26" s="124"/>
      <c r="AQ26" s="124"/>
      <c r="AR26" s="124"/>
      <c r="AS26" s="124"/>
      <c r="AT26" s="124"/>
      <c r="AU26" s="124"/>
      <c r="AV26" s="125"/>
    </row>
    <row r="27" spans="2:50" ht="27">
      <c r="B27" s="22" t="s">
        <v>42</v>
      </c>
      <c r="C27" s="29" t="s">
        <v>48</v>
      </c>
      <c r="D27" s="90" t="s">
        <v>144</v>
      </c>
      <c r="E27" s="123"/>
      <c r="F27" s="124"/>
      <c r="G27" s="124"/>
      <c r="H27" s="124"/>
      <c r="I27" s="124"/>
      <c r="J27" s="124"/>
      <c r="K27" s="124"/>
      <c r="L27" s="124"/>
      <c r="M27" s="124"/>
      <c r="N27" s="124"/>
      <c r="O27" s="125"/>
      <c r="P27" s="123"/>
      <c r="Q27" s="124"/>
      <c r="R27" s="124"/>
      <c r="S27" s="124"/>
      <c r="T27" s="124"/>
      <c r="U27" s="124"/>
      <c r="V27" s="124"/>
      <c r="W27" s="124"/>
      <c r="X27" s="124"/>
      <c r="Y27" s="124"/>
      <c r="Z27" s="125"/>
      <c r="AA27" s="123"/>
      <c r="AB27" s="124"/>
      <c r="AC27" s="124"/>
      <c r="AD27" s="124"/>
      <c r="AE27" s="124"/>
      <c r="AF27" s="124"/>
      <c r="AG27" s="124"/>
      <c r="AH27" s="124"/>
      <c r="AI27" s="124"/>
      <c r="AJ27" s="124"/>
      <c r="AK27" s="125"/>
      <c r="AL27" s="123"/>
      <c r="AM27" s="124"/>
      <c r="AN27" s="124"/>
      <c r="AO27" s="124"/>
      <c r="AP27" s="124"/>
      <c r="AQ27" s="124"/>
      <c r="AR27" s="124"/>
      <c r="AS27" s="124"/>
      <c r="AT27" s="124"/>
      <c r="AU27" s="124"/>
      <c r="AV27" s="125"/>
    </row>
    <row r="28" spans="2:50">
      <c r="B28" s="94"/>
    </row>
  </sheetData>
  <mergeCells count="91">
    <mergeCell ref="P21:Z21"/>
    <mergeCell ref="P22:Z22"/>
    <mergeCell ref="P23:Z23"/>
    <mergeCell ref="P24:Z24"/>
    <mergeCell ref="P16:Z16"/>
    <mergeCell ref="P17:Z17"/>
    <mergeCell ref="P18:Z18"/>
    <mergeCell ref="P19:Z19"/>
    <mergeCell ref="P20:Z20"/>
    <mergeCell ref="AA23:AK23"/>
    <mergeCell ref="AA24:AK24"/>
    <mergeCell ref="AA19:AK19"/>
    <mergeCell ref="AA20:AK20"/>
    <mergeCell ref="AA21:AK21"/>
    <mergeCell ref="AA22:AK22"/>
    <mergeCell ref="AL25:AV25"/>
    <mergeCell ref="AL26:AV26"/>
    <mergeCell ref="AL27:AV27"/>
    <mergeCell ref="AL19:AV19"/>
    <mergeCell ref="AL20:AV20"/>
    <mergeCell ref="AL21:AV21"/>
    <mergeCell ref="AL22:AV22"/>
    <mergeCell ref="AL23:AV23"/>
    <mergeCell ref="AL24:AV24"/>
    <mergeCell ref="AL11:AV11"/>
    <mergeCell ref="AL12:AV12"/>
    <mergeCell ref="AL16:AV16"/>
    <mergeCell ref="AL17:AV17"/>
    <mergeCell ref="AL18:AV18"/>
    <mergeCell ref="AL13:AV13"/>
    <mergeCell ref="AL14:AV14"/>
    <mergeCell ref="AN6:AV6"/>
    <mergeCell ref="AL7:AV7"/>
    <mergeCell ref="AL8:AV8"/>
    <mergeCell ref="AL9:AV9"/>
    <mergeCell ref="AL10:AV10"/>
    <mergeCell ref="AA25:AK25"/>
    <mergeCell ref="AA26:AK26"/>
    <mergeCell ref="AA27:AK27"/>
    <mergeCell ref="P26:Z26"/>
    <mergeCell ref="P27:Z27"/>
    <mergeCell ref="P25:Z25"/>
    <mergeCell ref="AC6:AK6"/>
    <mergeCell ref="AA7:AK7"/>
    <mergeCell ref="AA8:AK8"/>
    <mergeCell ref="AA9:AK9"/>
    <mergeCell ref="AA10:AK10"/>
    <mergeCell ref="AA11:AK11"/>
    <mergeCell ref="AA12:AK12"/>
    <mergeCell ref="AA16:AK16"/>
    <mergeCell ref="AA17:AK17"/>
    <mergeCell ref="AA18:AK18"/>
    <mergeCell ref="AA13:AK13"/>
    <mergeCell ref="AA14:AK14"/>
    <mergeCell ref="E7:O7"/>
    <mergeCell ref="E13:O13"/>
    <mergeCell ref="P13:Z13"/>
    <mergeCell ref="G6:O6"/>
    <mergeCell ref="R6:Z6"/>
    <mergeCell ref="P7:Z7"/>
    <mergeCell ref="E12:O12"/>
    <mergeCell ref="E11:O11"/>
    <mergeCell ref="E10:O10"/>
    <mergeCell ref="E9:O9"/>
    <mergeCell ref="E8:O8"/>
    <mergeCell ref="P8:Z8"/>
    <mergeCell ref="P10:Z10"/>
    <mergeCell ref="P11:Z11"/>
    <mergeCell ref="P12:Z12"/>
    <mergeCell ref="P9:Z9"/>
    <mergeCell ref="B16:B17"/>
    <mergeCell ref="C16:C17"/>
    <mergeCell ref="E27:O27"/>
    <mergeCell ref="E26:O26"/>
    <mergeCell ref="E25:O25"/>
    <mergeCell ref="E24:O24"/>
    <mergeCell ref="E23:O23"/>
    <mergeCell ref="E22:O22"/>
    <mergeCell ref="E21:O21"/>
    <mergeCell ref="E20:O20"/>
    <mergeCell ref="E19:O19"/>
    <mergeCell ref="E18:O18"/>
    <mergeCell ref="E17:O17"/>
    <mergeCell ref="E16:O16"/>
    <mergeCell ref="D14:D17"/>
    <mergeCell ref="E14:O14"/>
    <mergeCell ref="P14:Z14"/>
    <mergeCell ref="AL15:AV15"/>
    <mergeCell ref="AA15:AK15"/>
    <mergeCell ref="P15:Z15"/>
    <mergeCell ref="E15:O15"/>
  </mergeCells>
  <phoneticPr fontId="1"/>
  <conditionalFormatting sqref="E9:F13 P10:Q13">
    <cfRule type="containsText" dxfId="41" priority="9" operator="containsText" text="チェック結果または判断理由">
      <formula>NOT(ISERROR(SEARCH("チェック結果または判断理由",E9)))</formula>
    </cfRule>
    <cfRule type="notContainsText" dxfId="40" priority="10" operator="notContains" text="判断理由（任意）">
      <formula>ISERROR(SEARCH("判断理由（任意）",E9))</formula>
    </cfRule>
  </conditionalFormatting>
  <conditionalFormatting sqref="E18:F27">
    <cfRule type="containsText" dxfId="39" priority="36" operator="containsText" text="チェック結果または判断理由">
      <formula>NOT(ISERROR(SEARCH("チェック結果または判断理由",E18)))</formula>
    </cfRule>
    <cfRule type="notContainsText" dxfId="38" priority="37" operator="notContains" text="判断理由（任意）">
      <formula>ISERROR(SEARCH("判断理由（任意）",E18))</formula>
    </cfRule>
  </conditionalFormatting>
  <conditionalFormatting sqref="P18:Q27">
    <cfRule type="containsText" dxfId="37" priority="26" operator="containsText" text="チェック結果または判断理由">
      <formula>NOT(ISERROR(SEARCH("チェック結果または判断理由",P18)))</formula>
    </cfRule>
    <cfRule type="notContainsText" dxfId="36" priority="27" operator="notContains" text="判断理由（任意）">
      <formula>ISERROR(SEARCH("判断理由（任意）",P18))</formula>
    </cfRule>
  </conditionalFormatting>
  <conditionalFormatting sqref="AA9:AB13">
    <cfRule type="containsText" dxfId="35" priority="5" operator="containsText" text="チェック結果または判断理由">
      <formula>NOT(ISERROR(SEARCH("チェック結果または判断理由",AA9)))</formula>
    </cfRule>
    <cfRule type="notContainsText" dxfId="34" priority="6" operator="notContains" text="判断理由（任意）">
      <formula>ISERROR(SEARCH("判断理由（任意）",AA9))</formula>
    </cfRule>
  </conditionalFormatting>
  <conditionalFormatting sqref="AA18:AB27">
    <cfRule type="containsText" dxfId="33" priority="21" operator="containsText" text="チェック結果または判断理由">
      <formula>NOT(ISERROR(SEARCH("チェック結果または判断理由",AA18)))</formula>
    </cfRule>
    <cfRule type="notContainsText" dxfId="32" priority="22" operator="notContains" text="判断理由（任意）">
      <formula>ISERROR(SEARCH("判断理由（任意）",AA18))</formula>
    </cfRule>
  </conditionalFormatting>
  <conditionalFormatting sqref="AL9:AM13">
    <cfRule type="containsText" dxfId="31" priority="3" operator="containsText" text="チェック結果または判断理由">
      <formula>NOT(ISERROR(SEARCH("チェック結果または判断理由",AL9)))</formula>
    </cfRule>
    <cfRule type="notContainsText" dxfId="30" priority="4" operator="notContains" text="判断理由（任意）">
      <formula>ISERROR(SEARCH("判断理由（任意）",AL9))</formula>
    </cfRule>
  </conditionalFormatting>
  <conditionalFormatting sqref="AL18:AM27">
    <cfRule type="containsText" dxfId="29" priority="16" operator="containsText" text="チェック結果または判断理由">
      <formula>NOT(ISERROR(SEARCH("チェック結果または判断理由",AL18)))</formula>
    </cfRule>
    <cfRule type="notContainsText" dxfId="28" priority="17" operator="notContains" text="判断理由（任意）">
      <formula>ISERROR(SEARCH("判断理由（任意）",AL18))</formula>
    </cfRule>
  </conditionalFormatting>
  <conditionalFormatting sqref="P9:Q9">
    <cfRule type="containsText" dxfId="1" priority="1" operator="containsText" text="チェック結果または判断理由">
      <formula>NOT(ISERROR(SEARCH("チェック結果または判断理由",P9)))</formula>
    </cfRule>
    <cfRule type="notContainsText" dxfId="0" priority="2" operator="notContains" text="判断理由（任意）">
      <formula>ISERROR(SEARCH("判断理由（任意）",P9))</formula>
    </cfRule>
  </conditionalFormatting>
  <pageMargins left="0.7" right="0.7" top="0.75" bottom="0.75" header="0.3" footer="0.3"/>
  <pageSetup paperSize="9" orientation="portrait" verticalDpi="1200" r:id="rId1"/>
  <ignoredErrors>
    <ignoredError sqref="B27 B20:B23" numberStoredAsText="1"/>
  </ignoredErrors>
  <drawing r:id="rId2"/>
  <legacyDrawing r:id="rId3"/>
  <oleObjects>
    <mc:AlternateContent xmlns:mc="http://schemas.openxmlformats.org/markup-compatibility/2006">
      <mc:Choice Requires="x14">
        <oleObject progId="ワークシート" dvAspect="DVASPECT_ICON" shapeId="15868" r:id="rId4">
          <objectPr defaultSize="0" autoPict="0" r:id="rId5">
            <anchor moveWithCells="1">
              <from>
                <xdr:col>2</xdr:col>
                <xdr:colOff>1828800</xdr:colOff>
                <xdr:row>0</xdr:row>
                <xdr:rowOff>219075</xdr:rowOff>
              </from>
              <to>
                <xdr:col>2</xdr:col>
                <xdr:colOff>2590800</xdr:colOff>
                <xdr:row>2</xdr:row>
                <xdr:rowOff>85725</xdr:rowOff>
              </to>
            </anchor>
          </objectPr>
        </oleObject>
      </mc:Choice>
      <mc:Fallback>
        <oleObject progId="ワークシート" dvAspect="DVASPECT_ICON" shapeId="15868"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E161"/>
  <sheetViews>
    <sheetView showGridLines="0" zoomScaleNormal="100" workbookViewId="0"/>
  </sheetViews>
  <sheetFormatPr defaultRowHeight="13.5"/>
  <cols>
    <col min="2" max="2" width="20.75" customWidth="1"/>
    <col min="3" max="3" width="58" customWidth="1"/>
    <col min="4" max="4" width="57.875" customWidth="1"/>
    <col min="5" max="5" width="64.375" customWidth="1"/>
  </cols>
  <sheetData>
    <row r="2" spans="2:3" ht="25.5">
      <c r="B2" s="3" t="s">
        <v>26</v>
      </c>
    </row>
    <row r="4" spans="2:3" ht="40.5">
      <c r="B4" s="1" t="s">
        <v>11</v>
      </c>
      <c r="C4" s="2" t="s">
        <v>50</v>
      </c>
    </row>
    <row r="5" spans="2:3">
      <c r="B5" s="1" t="s">
        <v>7</v>
      </c>
      <c r="C5" s="2" t="s">
        <v>20</v>
      </c>
    </row>
    <row r="6" spans="2:3" ht="27">
      <c r="B6" s="1" t="s">
        <v>1</v>
      </c>
      <c r="C6" s="2" t="s">
        <v>3</v>
      </c>
    </row>
    <row r="7" spans="2:3" ht="27">
      <c r="B7" s="1" t="s">
        <v>2</v>
      </c>
      <c r="C7" s="2" t="s">
        <v>27</v>
      </c>
    </row>
    <row r="8" spans="2:3" ht="27">
      <c r="B8" s="1" t="s">
        <v>19</v>
      </c>
      <c r="C8" s="2" t="s">
        <v>28</v>
      </c>
    </row>
    <row r="28" spans="2:5" ht="17.25">
      <c r="B28" s="6" t="s">
        <v>23</v>
      </c>
    </row>
    <row r="29" spans="2:5">
      <c r="D29" t="s">
        <v>32</v>
      </c>
    </row>
    <row r="30" spans="2:5" ht="20.25" customHeight="1" thickBot="1">
      <c r="B30" s="5" t="s">
        <v>0</v>
      </c>
      <c r="C30" s="4" t="s">
        <v>8</v>
      </c>
      <c r="D30" s="4" t="s">
        <v>24</v>
      </c>
      <c r="E30" s="7" t="s">
        <v>4</v>
      </c>
    </row>
    <row r="31" spans="2:5" ht="41.25" customHeight="1" thickTop="1">
      <c r="B31" s="64" t="str">
        <f>参照元チェックリスト!B8</f>
        <v>0</v>
      </c>
      <c r="C31" s="45" t="str">
        <f>参照元チェックリスト!C8</f>
        <v>IF不整合が起きないか。
コンパイルSWが参照元と整合しているか（部品コンパイルSWと処理にかかっているコンパイルSWも確認）</v>
      </c>
      <c r="D31" s="65" t="s">
        <v>95</v>
      </c>
      <c r="E31" s="66" t="s">
        <v>96</v>
      </c>
    </row>
    <row r="32" spans="2:5" ht="31.5" customHeight="1">
      <c r="B32" s="8">
        <f>参照元チェックリスト!B9</f>
        <v>1</v>
      </c>
      <c r="C32" s="45" t="str">
        <f>参照元チェックリスト!C9</f>
        <v>参照変数は本当に欲しかった挙動をする
信号か？挙動を全て把握したか
※参照元が他ドメイン仕様の場合は
　 確認した対象を明記すること
※参照元がCAN信号の場合、参照するIFの
　LSB、オフセットを確認すること
　(CAN受信時にオフセットを戻す処理を実施
  する場合あり)</v>
      </c>
      <c r="D32" s="46" t="s">
        <v>94</v>
      </c>
      <c r="E32" s="63"/>
    </row>
    <row r="33" spans="2:5" ht="78.75" customHeight="1">
      <c r="B33" s="8" t="str">
        <f>参照元チェックリスト!B10</f>
        <v>1-1</v>
      </c>
      <c r="C33" s="45" t="str">
        <f>参照元チェックリスト!C10</f>
        <v>（補足1）参照変数の更新周期に対し、
自部品の参照周期が適切か</v>
      </c>
      <c r="D33" s="45" t="s">
        <v>43</v>
      </c>
      <c r="E33" s="47" t="s">
        <v>75</v>
      </c>
    </row>
    <row r="34" spans="2:5" ht="37.5" customHeight="1">
      <c r="B34" s="8" t="str">
        <f>参照元チェックリスト!B11</f>
        <v>1-2</v>
      </c>
      <c r="C34" s="45" t="str">
        <f>参照元チェックリスト!C11</f>
        <v>（補足2）変数が更新されないタイミングや
条件を把握しているか</v>
      </c>
      <c r="D34" s="48" t="s">
        <v>44</v>
      </c>
      <c r="E34" s="49" t="s">
        <v>6</v>
      </c>
    </row>
    <row r="35" spans="2:5" ht="72.75" customHeight="1">
      <c r="B35" s="8" t="str">
        <f>参照元チェックリスト!B12</f>
        <v>1-3-1</v>
      </c>
      <c r="C35" s="45" t="str">
        <f>参照元チェックリスト!C12</f>
        <v>（補足3-1）一周期遅れの変数を参照して
いないか、参照していても問題ないか
※参照元に個別仕様を引き当てる場合は
　 機種担当者に処理順を確認すること</v>
      </c>
      <c r="D35" s="51" t="s">
        <v>180</v>
      </c>
      <c r="E35" s="49" t="s">
        <v>181</v>
      </c>
    </row>
    <row r="36" spans="2:5" ht="84" customHeight="1">
      <c r="B36" s="8" t="str">
        <f>参照元チェックリスト!B13</f>
        <v>1-3-2</v>
      </c>
      <c r="C36" s="45" t="str">
        <f>参照元チェックリスト!C13</f>
        <v xml:space="preserve">（補足3-2）pwonで参照する場合、参照元が先にpwon処理を行うことを確認したか？
※参照元に個別仕様を引き当てる場合は
　 機種担当者に処理順を確認すること
</v>
      </c>
      <c r="D36" s="97" t="s">
        <v>179</v>
      </c>
      <c r="E36" s="49" t="s">
        <v>182</v>
      </c>
    </row>
    <row r="37" spans="2:5" ht="81">
      <c r="B37" s="8" t="str">
        <f>参照元チェックリスト!B16</f>
        <v>1-4-3</v>
      </c>
      <c r="C37" s="45" t="str">
        <f>参照元チェックリスト!C16</f>
        <v>（補足4）初期値・フェイルセーフ移行までの
値・フェイルセーフ値まで含めて、狙い通りに
参照出来ているか。問題無い理由を記載。
（参照箇所パスを記載し、参照先ごとに判断）
フェイル時が「なし」の場合は、それで大丈夫な理由を記入する。</v>
      </c>
      <c r="D37" s="48" t="s">
        <v>15</v>
      </c>
      <c r="E37" s="67" t="s">
        <v>100</v>
      </c>
    </row>
    <row r="38" spans="2:5" ht="27">
      <c r="B38" s="8" t="str">
        <f>参照元チェックリスト!B18</f>
        <v>1-5</v>
      </c>
      <c r="C38" s="45" t="str">
        <f>参照元チェックリスト!C18</f>
        <v>（補足5）似たような参照変数について、
正しい変数を参照出来ているか</v>
      </c>
      <c r="D38" s="48" t="s">
        <v>13</v>
      </c>
      <c r="E38" s="98" t="s">
        <v>183</v>
      </c>
    </row>
    <row r="39" spans="2:5" ht="40.5">
      <c r="B39" s="8" t="str">
        <f>参照元チェックリスト!B19</f>
        <v>1-6</v>
      </c>
      <c r="C39" s="45" t="str">
        <f>参照元チェックリスト!C19</f>
        <v>（補足6）変数を複数参照する場合、同時性
確保が必要となっている変数かどうかの
確認はしたか</v>
      </c>
      <c r="D39" s="51" t="s">
        <v>33</v>
      </c>
      <c r="E39" s="49" t="s">
        <v>22</v>
      </c>
    </row>
    <row r="40" spans="2:5" ht="39.75" customHeight="1">
      <c r="B40" s="8" t="str">
        <f>参照元チェックリスト!B20</f>
        <v>2</v>
      </c>
      <c r="C40" s="45" t="str">
        <f>参照元チェックリスト!C20</f>
        <v>フォルダ間の参照ルールを順守しているか
（参照可否ルール表を活用）</v>
      </c>
      <c r="D40" s="48" t="s">
        <v>14</v>
      </c>
      <c r="E40" s="49" t="s">
        <v>29</v>
      </c>
    </row>
    <row r="41" spans="2:5" ht="67.5" customHeight="1">
      <c r="B41" s="8" t="str">
        <f>参照元チェックリスト!B21</f>
        <v>3</v>
      </c>
      <c r="C41" s="45" t="str">
        <f>参照元チェックリスト!C21</f>
        <v>エッジフラグの参照禁止</v>
      </c>
      <c r="D41" s="51" t="s">
        <v>17</v>
      </c>
      <c r="E41" s="49" t="s">
        <v>10</v>
      </c>
    </row>
    <row r="42" spans="2:5">
      <c r="B42" s="8" t="str">
        <f>参照元チェックリスト!B22</f>
        <v>4</v>
      </c>
      <c r="C42" s="45" t="str">
        <f>参照元チェックリスト!C22</f>
        <v>モード、パターン、ステップを参照していないか</v>
      </c>
      <c r="D42" s="48" t="s">
        <v>12</v>
      </c>
      <c r="E42" s="50"/>
    </row>
    <row r="43" spans="2:5" ht="40.5">
      <c r="B43" s="8" t="str">
        <f>参照元チェックリスト!B23</f>
        <v>5</v>
      </c>
      <c r="C43" s="45" t="str">
        <f>参照元チェックリスト!C23</f>
        <v>調停器に要求を出していて、同じ調停器の
他要求ＩＤを見ていないか</v>
      </c>
      <c r="D43" s="51" t="s">
        <v>30</v>
      </c>
      <c r="E43" s="49" t="s">
        <v>18</v>
      </c>
    </row>
    <row r="44" spans="2:5" ht="27">
      <c r="B44" s="14" t="str">
        <f>参照元チェックリスト!B24</f>
        <v>6</v>
      </c>
      <c r="C44" s="52" t="str">
        <f>参照元チェックリスト!C24</f>
        <v>マルチコア時に別コアからの参照となるか？</v>
      </c>
      <c r="D44" s="51" t="s">
        <v>84</v>
      </c>
      <c r="E44" s="49"/>
    </row>
    <row r="45" spans="2:5" ht="54">
      <c r="B45" s="14" t="str">
        <f>参照元チェックリスト!B25</f>
        <v>6-1</v>
      </c>
      <c r="C45" s="52" t="str">
        <f>参照元チェックリスト!C25</f>
        <v>・マルチコアでコア跨ぎになっても遅れは
　許容できるか
・マルチマイコンでマイコン跨ぎになっても
　遅れは許容できるか</v>
      </c>
      <c r="D45" s="53" t="s">
        <v>45</v>
      </c>
      <c r="E45" s="49" t="s">
        <v>91</v>
      </c>
    </row>
    <row r="46" spans="2:5" ht="40.5">
      <c r="B46" s="14" t="str">
        <f>参照元チェックリスト!B26</f>
        <v>6-2</v>
      </c>
      <c r="C46" s="52" t="str">
        <f>参照元チェックリスト!C26</f>
        <v>マルチコアの場合に、別コアになる
参照元部品からの複数RAM参照がないか。
　ある場合は同時性保証が必要か。</v>
      </c>
      <c r="D46" s="53" t="s">
        <v>64</v>
      </c>
      <c r="E46" s="50"/>
    </row>
    <row r="47" spans="2:5" ht="27">
      <c r="B47" s="8" t="str">
        <f>参照元チェックリスト!B27</f>
        <v>7</v>
      </c>
      <c r="C47" s="45" t="str">
        <f>参照元チェックリスト!C27</f>
        <v>同時に仕様発行予定になっていないか
公開元に確認しているか</v>
      </c>
      <c r="D47" s="48" t="s">
        <v>16</v>
      </c>
      <c r="E47" s="50" t="s">
        <v>5</v>
      </c>
    </row>
    <row r="51" spans="2:5" ht="21.75" customHeight="1">
      <c r="B51" s="33" t="s">
        <v>74</v>
      </c>
      <c r="C51" s="34"/>
      <c r="D51" s="34"/>
      <c r="E51" s="35"/>
    </row>
    <row r="52" spans="2:5" ht="14.25">
      <c r="B52" s="54"/>
      <c r="C52" s="37"/>
      <c r="D52" s="37"/>
      <c r="E52" s="38"/>
    </row>
    <row r="53" spans="2:5" ht="14.25">
      <c r="B53" s="55"/>
      <c r="E53" s="40"/>
    </row>
    <row r="54" spans="2:5" ht="14.25">
      <c r="B54" s="55"/>
      <c r="E54" s="40"/>
    </row>
    <row r="55" spans="2:5" ht="14.25">
      <c r="B55" s="55"/>
      <c r="E55" s="40"/>
    </row>
    <row r="56" spans="2:5" ht="14.25">
      <c r="B56" s="55"/>
      <c r="E56" s="40"/>
    </row>
    <row r="57" spans="2:5" ht="14.25">
      <c r="B57" s="55"/>
      <c r="E57" s="40"/>
    </row>
    <row r="58" spans="2:5" ht="14.25">
      <c r="B58" s="55"/>
      <c r="E58" s="40"/>
    </row>
    <row r="59" spans="2:5" ht="14.25">
      <c r="B59" s="55"/>
      <c r="E59" s="40"/>
    </row>
    <row r="60" spans="2:5" ht="14.25">
      <c r="B60" s="55"/>
      <c r="E60" s="40"/>
    </row>
    <row r="61" spans="2:5" ht="14.25">
      <c r="B61" s="55"/>
      <c r="E61" s="40"/>
    </row>
    <row r="62" spans="2:5" ht="14.25">
      <c r="B62" s="55"/>
      <c r="E62" s="40"/>
    </row>
    <row r="63" spans="2:5" ht="14.25">
      <c r="B63" s="55"/>
      <c r="E63" s="40"/>
    </row>
    <row r="64" spans="2:5" ht="14.25">
      <c r="B64" s="55"/>
      <c r="E64" s="40"/>
    </row>
    <row r="65" spans="2:5" ht="14.25">
      <c r="B65" s="55"/>
      <c r="E65" s="40"/>
    </row>
    <row r="66" spans="2:5" ht="14.25">
      <c r="B66" s="55"/>
      <c r="E66" s="40"/>
    </row>
    <row r="67" spans="2:5" ht="14.25">
      <c r="B67" s="55"/>
      <c r="E67" s="40"/>
    </row>
    <row r="68" spans="2:5" ht="14.25">
      <c r="B68" s="55"/>
      <c r="E68" s="40"/>
    </row>
    <row r="69" spans="2:5" ht="14.25">
      <c r="B69" s="55"/>
      <c r="E69" s="40"/>
    </row>
    <row r="70" spans="2:5" ht="14.25">
      <c r="B70" s="55"/>
      <c r="E70" s="40"/>
    </row>
    <row r="71" spans="2:5" ht="14.25">
      <c r="B71" s="55"/>
      <c r="E71" s="40"/>
    </row>
    <row r="72" spans="2:5" ht="14.25">
      <c r="B72" s="55"/>
      <c r="E72" s="40"/>
    </row>
    <row r="73" spans="2:5" ht="14.25">
      <c r="B73" s="55"/>
      <c r="E73" s="40"/>
    </row>
    <row r="74" spans="2:5" ht="14.25">
      <c r="B74" s="55"/>
      <c r="E74" s="40"/>
    </row>
    <row r="75" spans="2:5" ht="14.25">
      <c r="B75" s="55"/>
      <c r="E75" s="40"/>
    </row>
    <row r="76" spans="2:5" ht="14.25">
      <c r="B76" s="55"/>
      <c r="E76" s="40"/>
    </row>
    <row r="77" spans="2:5" ht="14.25">
      <c r="B77" s="55"/>
      <c r="E77" s="40"/>
    </row>
    <row r="78" spans="2:5" ht="14.25">
      <c r="B78" s="55"/>
      <c r="E78" s="40"/>
    </row>
    <row r="79" spans="2:5" ht="14.25">
      <c r="B79" s="55"/>
      <c r="E79" s="40"/>
    </row>
    <row r="80" spans="2:5" ht="14.25">
      <c r="B80" s="55"/>
      <c r="E80" s="40"/>
    </row>
    <row r="81" spans="2:5" ht="14.25">
      <c r="B81" s="55"/>
      <c r="E81" s="40"/>
    </row>
    <row r="82" spans="2:5" ht="14.25">
      <c r="B82" s="56"/>
      <c r="C82" s="42"/>
      <c r="D82" s="42"/>
      <c r="E82" s="43"/>
    </row>
    <row r="83" spans="2:5" ht="14.25">
      <c r="B83" s="44"/>
    </row>
    <row r="85" spans="2:5" ht="21.75" customHeight="1">
      <c r="B85" s="33" t="s">
        <v>72</v>
      </c>
      <c r="C85" s="34"/>
      <c r="D85" s="34"/>
      <c r="E85" s="35"/>
    </row>
    <row r="86" spans="2:5">
      <c r="B86" s="36"/>
      <c r="C86" s="37"/>
      <c r="D86" s="37"/>
      <c r="E86" s="38"/>
    </row>
    <row r="87" spans="2:5">
      <c r="B87" s="39"/>
      <c r="E87" s="40"/>
    </row>
    <row r="88" spans="2:5">
      <c r="B88" s="39"/>
      <c r="E88" s="40"/>
    </row>
    <row r="89" spans="2:5">
      <c r="B89" s="39"/>
      <c r="E89" s="40"/>
    </row>
    <row r="90" spans="2:5">
      <c r="B90" s="39"/>
      <c r="E90" s="40"/>
    </row>
    <row r="91" spans="2:5">
      <c r="B91" s="39"/>
      <c r="E91" s="40"/>
    </row>
    <row r="92" spans="2:5">
      <c r="B92" s="39"/>
      <c r="E92" s="40"/>
    </row>
    <row r="93" spans="2:5">
      <c r="B93" s="39"/>
      <c r="E93" s="40"/>
    </row>
    <row r="94" spans="2:5">
      <c r="B94" s="39"/>
      <c r="E94" s="40"/>
    </row>
    <row r="95" spans="2:5">
      <c r="B95" s="39"/>
      <c r="E95" s="40"/>
    </row>
    <row r="96" spans="2:5">
      <c r="B96" s="39"/>
      <c r="E96" s="40"/>
    </row>
    <row r="97" spans="2:5">
      <c r="B97" s="39"/>
      <c r="E97" s="40"/>
    </row>
    <row r="98" spans="2:5">
      <c r="B98" s="39"/>
      <c r="E98" s="40"/>
    </row>
    <row r="99" spans="2:5">
      <c r="B99" s="39"/>
      <c r="E99" s="40"/>
    </row>
    <row r="100" spans="2:5">
      <c r="B100" s="39"/>
      <c r="E100" s="40"/>
    </row>
    <row r="101" spans="2:5">
      <c r="B101" s="39"/>
      <c r="E101" s="40"/>
    </row>
    <row r="102" spans="2:5">
      <c r="B102" s="39"/>
      <c r="E102" s="40"/>
    </row>
    <row r="103" spans="2:5">
      <c r="B103" s="39"/>
      <c r="E103" s="40"/>
    </row>
    <row r="104" spans="2:5">
      <c r="B104" s="39"/>
      <c r="E104" s="40"/>
    </row>
    <row r="105" spans="2:5">
      <c r="B105" s="39"/>
      <c r="E105" s="40"/>
    </row>
    <row r="106" spans="2:5">
      <c r="B106" s="41"/>
      <c r="C106" s="42"/>
      <c r="D106" s="42"/>
      <c r="E106" s="43"/>
    </row>
    <row r="108" spans="2:5" ht="21.75" customHeight="1">
      <c r="B108" s="33" t="s">
        <v>73</v>
      </c>
      <c r="C108" s="34"/>
      <c r="D108" s="34"/>
      <c r="E108" s="35"/>
    </row>
    <row r="109" spans="2:5">
      <c r="B109" s="36"/>
      <c r="C109" s="37"/>
      <c r="D109" s="37"/>
      <c r="E109" s="38"/>
    </row>
    <row r="110" spans="2:5">
      <c r="B110" s="39"/>
      <c r="E110" s="40"/>
    </row>
    <row r="111" spans="2:5">
      <c r="B111" s="39"/>
      <c r="E111" s="40"/>
    </row>
    <row r="112" spans="2:5">
      <c r="B112" s="39"/>
      <c r="E112" s="40"/>
    </row>
    <row r="113" spans="2:5">
      <c r="B113" s="39"/>
      <c r="E113" s="40" t="s">
        <v>81</v>
      </c>
    </row>
    <row r="114" spans="2:5">
      <c r="B114" s="39"/>
      <c r="E114" s="58" t="s">
        <v>225</v>
      </c>
    </row>
    <row r="115" spans="2:5">
      <c r="B115" s="39"/>
      <c r="E115" s="40" t="s">
        <v>83</v>
      </c>
    </row>
    <row r="116" spans="2:5">
      <c r="B116" s="39"/>
      <c r="E116" s="59" t="s">
        <v>90</v>
      </c>
    </row>
    <row r="117" spans="2:5">
      <c r="B117" s="39"/>
      <c r="E117" s="40"/>
    </row>
    <row r="118" spans="2:5">
      <c r="B118" s="39"/>
      <c r="E118" s="40"/>
    </row>
    <row r="119" spans="2:5">
      <c r="B119" s="39"/>
      <c r="E119" s="40"/>
    </row>
    <row r="120" spans="2:5">
      <c r="B120" s="39"/>
      <c r="E120" s="40" t="s">
        <v>82</v>
      </c>
    </row>
    <row r="121" spans="2:5" ht="16.5">
      <c r="B121" s="39"/>
      <c r="E121" s="60" t="s">
        <v>80</v>
      </c>
    </row>
    <row r="122" spans="2:5">
      <c r="B122" s="39"/>
      <c r="E122" s="40"/>
    </row>
    <row r="123" spans="2:5">
      <c r="B123" s="39"/>
      <c r="E123" s="40"/>
    </row>
    <row r="124" spans="2:5">
      <c r="B124" s="39"/>
      <c r="E124" s="40" t="s">
        <v>89</v>
      </c>
    </row>
    <row r="125" spans="2:5">
      <c r="B125" s="39"/>
      <c r="E125" s="40" t="s">
        <v>86</v>
      </c>
    </row>
    <row r="126" spans="2:5">
      <c r="B126" s="39"/>
      <c r="E126" s="40" t="s">
        <v>87</v>
      </c>
    </row>
    <row r="127" spans="2:5">
      <c r="B127" s="39"/>
      <c r="E127" s="40" t="s">
        <v>88</v>
      </c>
    </row>
    <row r="128" spans="2:5">
      <c r="B128" s="39"/>
      <c r="E128" s="40"/>
    </row>
    <row r="129" spans="2:5">
      <c r="B129" s="39"/>
      <c r="E129" s="40"/>
    </row>
    <row r="130" spans="2:5">
      <c r="B130" s="39"/>
      <c r="E130" s="40"/>
    </row>
    <row r="131" spans="2:5">
      <c r="B131" s="39"/>
      <c r="E131" s="40"/>
    </row>
    <row r="132" spans="2:5">
      <c r="B132" s="39"/>
      <c r="E132" s="40"/>
    </row>
    <row r="133" spans="2:5">
      <c r="B133" s="39"/>
      <c r="E133" s="40"/>
    </row>
    <row r="134" spans="2:5">
      <c r="B134" s="39"/>
      <c r="E134" s="40"/>
    </row>
    <row r="135" spans="2:5">
      <c r="B135" s="39"/>
      <c r="E135" s="40"/>
    </row>
    <row r="136" spans="2:5">
      <c r="B136" s="39"/>
      <c r="E136" s="40"/>
    </row>
    <row r="137" spans="2:5">
      <c r="B137" s="39"/>
      <c r="E137" s="40"/>
    </row>
    <row r="138" spans="2:5">
      <c r="B138" s="39"/>
      <c r="E138" s="40"/>
    </row>
    <row r="139" spans="2:5">
      <c r="B139" s="39"/>
      <c r="E139" s="40"/>
    </row>
    <row r="140" spans="2:5">
      <c r="B140" s="39"/>
      <c r="E140" s="40"/>
    </row>
    <row r="141" spans="2:5">
      <c r="B141" s="39"/>
      <c r="E141" s="40"/>
    </row>
    <row r="142" spans="2:5">
      <c r="B142" s="39"/>
      <c r="E142" s="40"/>
    </row>
    <row r="143" spans="2:5">
      <c r="B143" s="39"/>
      <c r="E143" s="40"/>
    </row>
    <row r="144" spans="2:5">
      <c r="B144" s="39"/>
      <c r="E144" s="40"/>
    </row>
    <row r="145" spans="2:5">
      <c r="B145" s="39"/>
      <c r="E145" s="40"/>
    </row>
    <row r="146" spans="2:5">
      <c r="B146" s="39"/>
      <c r="E146" s="40"/>
    </row>
    <row r="147" spans="2:5">
      <c r="B147" s="39"/>
      <c r="E147" s="40"/>
    </row>
    <row r="148" spans="2:5">
      <c r="B148" s="39"/>
      <c r="E148" s="40"/>
    </row>
    <row r="149" spans="2:5">
      <c r="B149" s="39"/>
      <c r="E149" s="40"/>
    </row>
    <row r="150" spans="2:5">
      <c r="B150" s="39"/>
      <c r="E150" s="40"/>
    </row>
    <row r="151" spans="2:5">
      <c r="B151" s="39"/>
      <c r="E151" s="40"/>
    </row>
    <row r="152" spans="2:5">
      <c r="B152" s="39"/>
      <c r="E152" s="40"/>
    </row>
    <row r="153" spans="2:5">
      <c r="B153" s="39"/>
      <c r="E153" s="40"/>
    </row>
    <row r="154" spans="2:5">
      <c r="B154" s="39"/>
      <c r="E154" s="40"/>
    </row>
    <row r="155" spans="2:5">
      <c r="B155" s="39"/>
      <c r="E155" s="40"/>
    </row>
    <row r="156" spans="2:5">
      <c r="B156" s="39"/>
      <c r="E156" s="40"/>
    </row>
    <row r="157" spans="2:5">
      <c r="B157" s="39"/>
      <c r="E157" s="40"/>
    </row>
    <row r="158" spans="2:5">
      <c r="B158" s="39"/>
      <c r="E158" s="40"/>
    </row>
    <row r="159" spans="2:5">
      <c r="B159" s="39"/>
      <c r="E159" s="40"/>
    </row>
    <row r="160" spans="2:5">
      <c r="B160" s="39"/>
      <c r="E160" s="40"/>
    </row>
    <row r="161" spans="2:5">
      <c r="B161" s="41"/>
      <c r="C161" s="42"/>
      <c r="D161" s="42"/>
      <c r="E161" s="43"/>
    </row>
  </sheetData>
  <phoneticPr fontId="1"/>
  <hyperlinks>
    <hyperlink ref="E114" r:id="rId1" display="https://toyotajp.sharepoint.com/:f:/r/sites/msspo_ENG_share/Shared%20Documents/%E3%82%A8%E3%83%B3%E3%82%B8%E3%83%B3%E5%88%B6%E5%BE%A1%E5%85%B1%E6%9C%89/%E3%83%9E%E3%83%AB%E3%83%81%E3%82%B3%E3%82%A2%E5%AF%BE%E5%BF%9C/%E3%82%B3%E3%82%A2%E9%85%8D%E7%BD%AE%EF%BC%88%E5%8F%82%E8%80%83%EF%BC%89?csf=1&amp;web=1&amp;e=fw3Odb" xr:uid="{00000000-0004-0000-0100-000000000000}"/>
  </hyperlinks>
  <pageMargins left="0" right="0" top="0" bottom="0" header="0" footer="0"/>
  <pageSetup paperSize="9" scale="73" orientation="landscape" r:id="rId2"/>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M28"/>
  <sheetViews>
    <sheetView zoomScaleNormal="100" workbookViewId="0"/>
  </sheetViews>
  <sheetFormatPr defaultRowHeight="13.5"/>
  <cols>
    <col min="1" max="1" width="5.5" style="24" customWidth="1"/>
    <col min="2" max="2" width="14.125" style="24" customWidth="1"/>
    <col min="3" max="3" width="36.5" style="24" customWidth="1"/>
    <col min="4" max="4" width="6.75" style="24" customWidth="1"/>
    <col min="5" max="14" width="3.25" style="24" hidden="1" customWidth="1"/>
    <col min="15" max="25" width="3.25" style="24" customWidth="1"/>
    <col min="26" max="36" width="3.25" style="80" customWidth="1"/>
    <col min="37" max="91" width="3.25" style="24" customWidth="1"/>
    <col min="92" max="16384" width="9" style="24"/>
  </cols>
  <sheetData>
    <row r="1" spans="1:91" ht="17.25" customHeight="1">
      <c r="P1" s="117" t="s">
        <v>280</v>
      </c>
    </row>
    <row r="2" spans="1:91" ht="33" customHeight="1">
      <c r="A2" s="30"/>
      <c r="B2" s="31" t="s">
        <v>25</v>
      </c>
      <c r="E2" s="71" t="s">
        <v>134</v>
      </c>
      <c r="O2" s="71"/>
      <c r="P2" s="71"/>
    </row>
    <row r="3" spans="1:91" ht="37.5" customHeight="1">
      <c r="B3" s="16"/>
    </row>
    <row r="4" spans="1:91" ht="23.25" customHeight="1">
      <c r="B4" s="25" t="s">
        <v>9</v>
      </c>
      <c r="C4" s="17" t="s">
        <v>132</v>
      </c>
      <c r="E4" s="71"/>
      <c r="O4" s="71"/>
      <c r="P4" s="71"/>
      <c r="AK4" s="71"/>
      <c r="AL4" s="71"/>
      <c r="AV4" s="71"/>
      <c r="AW4" s="71"/>
      <c r="BG4" s="71"/>
      <c r="BH4" s="71"/>
      <c r="BR4" s="71"/>
      <c r="BS4" s="71"/>
    </row>
    <row r="5" spans="1:91" ht="41.25" customHeight="1">
      <c r="E5" s="69" t="s">
        <v>105</v>
      </c>
      <c r="O5" s="69"/>
      <c r="P5" s="69"/>
      <c r="AK5" s="69"/>
      <c r="AL5" s="69"/>
      <c r="AV5" s="69"/>
      <c r="AW5" s="69"/>
      <c r="BG5" s="69"/>
      <c r="BH5" s="69"/>
      <c r="BR5" s="69"/>
      <c r="BS5" s="69"/>
      <c r="CC5" s="69"/>
      <c r="CD5" s="69"/>
    </row>
    <row r="6" spans="1:91" ht="44.25" customHeight="1">
      <c r="B6" s="16"/>
      <c r="C6" s="32" t="s">
        <v>67</v>
      </c>
      <c r="D6" s="96" t="s">
        <v>143</v>
      </c>
      <c r="E6" s="70" t="s">
        <v>104</v>
      </c>
      <c r="F6" s="143" t="s">
        <v>184</v>
      </c>
      <c r="G6" s="144"/>
      <c r="H6" s="144"/>
      <c r="I6" s="144"/>
      <c r="J6" s="144"/>
      <c r="K6" s="144"/>
      <c r="L6" s="144"/>
      <c r="M6" s="144"/>
      <c r="N6" s="145"/>
      <c r="O6" s="118" t="s">
        <v>293</v>
      </c>
      <c r="P6" s="113" t="s">
        <v>294</v>
      </c>
      <c r="Q6" s="141" t="s">
        <v>209</v>
      </c>
      <c r="R6" s="142"/>
      <c r="S6" s="142"/>
      <c r="T6" s="142"/>
      <c r="U6" s="142"/>
      <c r="V6" s="142"/>
      <c r="W6" s="142"/>
      <c r="X6" s="142"/>
      <c r="Y6" s="142"/>
      <c r="Z6" s="118" t="s">
        <v>301</v>
      </c>
      <c r="AA6" s="113" t="s">
        <v>295</v>
      </c>
      <c r="AB6" s="141" t="s">
        <v>263</v>
      </c>
      <c r="AC6" s="142"/>
      <c r="AD6" s="142"/>
      <c r="AE6" s="142"/>
      <c r="AF6" s="142"/>
      <c r="AG6" s="142"/>
      <c r="AH6" s="142"/>
      <c r="AI6" s="142"/>
      <c r="AJ6" s="156"/>
      <c r="AK6" s="118" t="s">
        <v>302</v>
      </c>
      <c r="AL6" s="114" t="s">
        <v>294</v>
      </c>
      <c r="AM6" s="181" t="s">
        <v>147</v>
      </c>
      <c r="AN6" s="182"/>
      <c r="AO6" s="182"/>
      <c r="AP6" s="182"/>
      <c r="AQ6" s="182"/>
      <c r="AR6" s="182"/>
      <c r="AS6" s="182"/>
      <c r="AT6" s="182"/>
      <c r="AU6" s="183"/>
      <c r="AV6" s="118" t="s">
        <v>303</v>
      </c>
      <c r="AW6" s="114" t="s">
        <v>291</v>
      </c>
      <c r="AX6" s="197" t="s">
        <v>138</v>
      </c>
      <c r="AY6" s="198"/>
      <c r="AZ6" s="198"/>
      <c r="BA6" s="198"/>
      <c r="BB6" s="198"/>
      <c r="BC6" s="198"/>
      <c r="BD6" s="198"/>
      <c r="BE6" s="198"/>
      <c r="BF6" s="198"/>
      <c r="BG6" s="119" t="s">
        <v>296</v>
      </c>
      <c r="BH6" s="115" t="s">
        <v>294</v>
      </c>
      <c r="BI6" s="204" t="s">
        <v>162</v>
      </c>
      <c r="BJ6" s="204"/>
      <c r="BK6" s="204"/>
      <c r="BL6" s="204"/>
      <c r="BM6" s="204"/>
      <c r="BN6" s="204"/>
      <c r="BO6" s="204"/>
      <c r="BP6" s="204"/>
      <c r="BQ6" s="205"/>
      <c r="BR6" s="116" t="s">
        <v>296</v>
      </c>
      <c r="BS6" s="115" t="s">
        <v>294</v>
      </c>
      <c r="BT6" s="204" t="s">
        <v>109</v>
      </c>
      <c r="BU6" s="204"/>
      <c r="BV6" s="204"/>
      <c r="BW6" s="204"/>
      <c r="BX6" s="204"/>
      <c r="BY6" s="204"/>
      <c r="BZ6" s="204"/>
      <c r="CA6" s="204"/>
      <c r="CB6" s="205"/>
      <c r="CC6" s="116" t="s">
        <v>297</v>
      </c>
      <c r="CD6" s="115" t="s">
        <v>294</v>
      </c>
      <c r="CE6" s="203" t="s">
        <v>121</v>
      </c>
      <c r="CF6" s="204"/>
      <c r="CG6" s="204"/>
      <c r="CH6" s="204"/>
      <c r="CI6" s="204"/>
      <c r="CJ6" s="204"/>
      <c r="CK6" s="204"/>
      <c r="CL6" s="204"/>
      <c r="CM6" s="205"/>
    </row>
    <row r="7" spans="1:91" ht="14.25" thickBot="1">
      <c r="B7" s="18" t="s">
        <v>0</v>
      </c>
      <c r="C7" s="15" t="s">
        <v>8</v>
      </c>
      <c r="D7" s="86"/>
      <c r="E7" s="184" t="s">
        <v>71</v>
      </c>
      <c r="F7" s="185"/>
      <c r="G7" s="185"/>
      <c r="H7" s="185"/>
      <c r="I7" s="185"/>
      <c r="J7" s="185"/>
      <c r="K7" s="185"/>
      <c r="L7" s="185"/>
      <c r="M7" s="185"/>
      <c r="N7" s="186"/>
      <c r="O7" s="224" t="s">
        <v>110</v>
      </c>
      <c r="P7" s="225"/>
      <c r="Q7" s="225"/>
      <c r="R7" s="225"/>
      <c r="S7" s="225"/>
      <c r="T7" s="225"/>
      <c r="U7" s="225"/>
      <c r="V7" s="225"/>
      <c r="W7" s="225"/>
      <c r="X7" s="225"/>
      <c r="Y7" s="226"/>
      <c r="Z7" s="138" t="s">
        <v>71</v>
      </c>
      <c r="AA7" s="139"/>
      <c r="AB7" s="139"/>
      <c r="AC7" s="139"/>
      <c r="AD7" s="139"/>
      <c r="AE7" s="139"/>
      <c r="AF7" s="139"/>
      <c r="AG7" s="139"/>
      <c r="AH7" s="139"/>
      <c r="AI7" s="139"/>
      <c r="AJ7" s="140"/>
      <c r="AK7" s="184" t="s">
        <v>71</v>
      </c>
      <c r="AL7" s="185"/>
      <c r="AM7" s="185"/>
      <c r="AN7" s="185"/>
      <c r="AO7" s="185"/>
      <c r="AP7" s="185"/>
      <c r="AQ7" s="185"/>
      <c r="AR7" s="185"/>
      <c r="AS7" s="185"/>
      <c r="AT7" s="185"/>
      <c r="AU7" s="186"/>
      <c r="AV7" s="184" t="s">
        <v>71</v>
      </c>
      <c r="AW7" s="185"/>
      <c r="AX7" s="185"/>
      <c r="AY7" s="185"/>
      <c r="AZ7" s="185"/>
      <c r="BA7" s="185"/>
      <c r="BB7" s="185"/>
      <c r="BC7" s="185"/>
      <c r="BD7" s="185"/>
      <c r="BE7" s="185"/>
      <c r="BF7" s="186"/>
      <c r="BG7" s="218" t="s">
        <v>110</v>
      </c>
      <c r="BH7" s="219"/>
      <c r="BI7" s="219"/>
      <c r="BJ7" s="219"/>
      <c r="BK7" s="219"/>
      <c r="BL7" s="219"/>
      <c r="BM7" s="219"/>
      <c r="BN7" s="219"/>
      <c r="BO7" s="219"/>
      <c r="BP7" s="219"/>
      <c r="BQ7" s="220"/>
      <c r="BR7" s="218" t="s">
        <v>110</v>
      </c>
      <c r="BS7" s="219"/>
      <c r="BT7" s="219"/>
      <c r="BU7" s="219"/>
      <c r="BV7" s="219"/>
      <c r="BW7" s="219"/>
      <c r="BX7" s="219"/>
      <c r="BY7" s="219"/>
      <c r="BZ7" s="219"/>
      <c r="CA7" s="219"/>
      <c r="CB7" s="220"/>
      <c r="CC7" s="206" t="s">
        <v>110</v>
      </c>
      <c r="CD7" s="207"/>
      <c r="CE7" s="207"/>
      <c r="CF7" s="207"/>
      <c r="CG7" s="207"/>
      <c r="CH7" s="207"/>
      <c r="CI7" s="207"/>
      <c r="CJ7" s="207"/>
      <c r="CK7" s="207"/>
      <c r="CL7" s="207"/>
      <c r="CM7" s="208"/>
    </row>
    <row r="8" spans="1:91" ht="248.25" customHeight="1" thickTop="1">
      <c r="B8" s="61" t="s">
        <v>92</v>
      </c>
      <c r="C8" s="62" t="s">
        <v>268</v>
      </c>
      <c r="D8" s="87" t="s">
        <v>144</v>
      </c>
      <c r="E8" s="240" t="s">
        <v>185</v>
      </c>
      <c r="F8" s="241"/>
      <c r="G8" s="241"/>
      <c r="H8" s="241"/>
      <c r="I8" s="241"/>
      <c r="J8" s="241"/>
      <c r="K8" s="241"/>
      <c r="L8" s="241"/>
      <c r="M8" s="241"/>
      <c r="N8" s="242"/>
      <c r="O8" s="199" t="s">
        <v>273</v>
      </c>
      <c r="P8" s="200"/>
      <c r="Q8" s="201"/>
      <c r="R8" s="201"/>
      <c r="S8" s="201"/>
      <c r="T8" s="201"/>
      <c r="U8" s="201"/>
      <c r="V8" s="201"/>
      <c r="W8" s="201"/>
      <c r="X8" s="201"/>
      <c r="Y8" s="202"/>
      <c r="Z8" s="149" t="s">
        <v>304</v>
      </c>
      <c r="AA8" s="150"/>
      <c r="AB8" s="151"/>
      <c r="AC8" s="151"/>
      <c r="AD8" s="151"/>
      <c r="AE8" s="151"/>
      <c r="AF8" s="151"/>
      <c r="AG8" s="151"/>
      <c r="AH8" s="151"/>
      <c r="AI8" s="151"/>
      <c r="AJ8" s="152"/>
      <c r="AK8" s="187" t="s">
        <v>269</v>
      </c>
      <c r="AL8" s="188"/>
      <c r="AM8" s="189"/>
      <c r="AN8" s="189"/>
      <c r="AO8" s="189"/>
      <c r="AP8" s="189"/>
      <c r="AQ8" s="189"/>
      <c r="AR8" s="189"/>
      <c r="AS8" s="189"/>
      <c r="AT8" s="189"/>
      <c r="AU8" s="190"/>
      <c r="AV8" s="187" t="s">
        <v>270</v>
      </c>
      <c r="AW8" s="188"/>
      <c r="AX8" s="189"/>
      <c r="AY8" s="189"/>
      <c r="AZ8" s="189"/>
      <c r="BA8" s="189"/>
      <c r="BB8" s="189"/>
      <c r="BC8" s="189"/>
      <c r="BD8" s="189"/>
      <c r="BE8" s="189"/>
      <c r="BF8" s="190"/>
      <c r="BG8" s="212" t="s">
        <v>266</v>
      </c>
      <c r="BH8" s="213"/>
      <c r="BI8" s="213"/>
      <c r="BJ8" s="213"/>
      <c r="BK8" s="213"/>
      <c r="BL8" s="213"/>
      <c r="BM8" s="213"/>
      <c r="BN8" s="213"/>
      <c r="BO8" s="213"/>
      <c r="BP8" s="213"/>
      <c r="BQ8" s="214"/>
      <c r="BR8" s="212" t="s">
        <v>271</v>
      </c>
      <c r="BS8" s="213"/>
      <c r="BT8" s="213"/>
      <c r="BU8" s="213"/>
      <c r="BV8" s="213"/>
      <c r="BW8" s="213"/>
      <c r="BX8" s="213"/>
      <c r="BY8" s="213"/>
      <c r="BZ8" s="213"/>
      <c r="CA8" s="213"/>
      <c r="CB8" s="214"/>
      <c r="CC8" s="199" t="s">
        <v>272</v>
      </c>
      <c r="CD8" s="200"/>
      <c r="CE8" s="201"/>
      <c r="CF8" s="201"/>
      <c r="CG8" s="201"/>
      <c r="CH8" s="201"/>
      <c r="CI8" s="201"/>
      <c r="CJ8" s="201"/>
      <c r="CK8" s="201"/>
      <c r="CL8" s="201"/>
      <c r="CM8" s="202"/>
    </row>
    <row r="9" spans="1:91" ht="137.25" customHeight="1">
      <c r="B9" s="19">
        <v>1</v>
      </c>
      <c r="C9" s="102" t="s">
        <v>234</v>
      </c>
      <c r="D9" s="88" t="s">
        <v>144</v>
      </c>
      <c r="E9" s="243" t="s">
        <v>207</v>
      </c>
      <c r="F9" s="244"/>
      <c r="G9" s="244"/>
      <c r="H9" s="244"/>
      <c r="I9" s="244"/>
      <c r="J9" s="244"/>
      <c r="K9" s="244"/>
      <c r="L9" s="244"/>
      <c r="M9" s="244"/>
      <c r="N9" s="245"/>
      <c r="O9" s="246" t="s">
        <v>233</v>
      </c>
      <c r="P9" s="247"/>
      <c r="Q9" s="247"/>
      <c r="R9" s="247"/>
      <c r="S9" s="247"/>
      <c r="T9" s="247"/>
      <c r="U9" s="247"/>
      <c r="V9" s="247"/>
      <c r="W9" s="247"/>
      <c r="X9" s="247"/>
      <c r="Y9" s="248"/>
      <c r="Z9" s="249" t="s">
        <v>252</v>
      </c>
      <c r="AA9" s="244"/>
      <c r="AB9" s="244"/>
      <c r="AC9" s="244"/>
      <c r="AD9" s="244"/>
      <c r="AE9" s="244"/>
      <c r="AF9" s="244"/>
      <c r="AG9" s="244"/>
      <c r="AH9" s="244"/>
      <c r="AI9" s="244"/>
      <c r="AJ9" s="245"/>
      <c r="AK9" s="191" t="s">
        <v>148</v>
      </c>
      <c r="AL9" s="192"/>
      <c r="AM9" s="192"/>
      <c r="AN9" s="192"/>
      <c r="AO9" s="192"/>
      <c r="AP9" s="192"/>
      <c r="AQ9" s="192"/>
      <c r="AR9" s="192"/>
      <c r="AS9" s="192"/>
      <c r="AT9" s="192"/>
      <c r="AU9" s="193"/>
      <c r="AV9" s="191" t="s">
        <v>139</v>
      </c>
      <c r="AW9" s="192"/>
      <c r="AX9" s="192"/>
      <c r="AY9" s="192"/>
      <c r="AZ9" s="192"/>
      <c r="BA9" s="192"/>
      <c r="BB9" s="192"/>
      <c r="BC9" s="192"/>
      <c r="BD9" s="192"/>
      <c r="BE9" s="192"/>
      <c r="BF9" s="193"/>
      <c r="BG9" s="221" t="s">
        <v>163</v>
      </c>
      <c r="BH9" s="222"/>
      <c r="BI9" s="222"/>
      <c r="BJ9" s="222"/>
      <c r="BK9" s="222"/>
      <c r="BL9" s="222"/>
      <c r="BM9" s="222"/>
      <c r="BN9" s="222"/>
      <c r="BO9" s="222"/>
      <c r="BP9" s="222"/>
      <c r="BQ9" s="223"/>
      <c r="BR9" s="215" t="s">
        <v>128</v>
      </c>
      <c r="BS9" s="216"/>
      <c r="BT9" s="216"/>
      <c r="BU9" s="216"/>
      <c r="BV9" s="216"/>
      <c r="BW9" s="216"/>
      <c r="BX9" s="216"/>
      <c r="BY9" s="216"/>
      <c r="BZ9" s="216"/>
      <c r="CA9" s="216"/>
      <c r="CB9" s="217"/>
      <c r="CC9" s="209" t="s">
        <v>131</v>
      </c>
      <c r="CD9" s="210"/>
      <c r="CE9" s="210"/>
      <c r="CF9" s="210"/>
      <c r="CG9" s="210"/>
      <c r="CH9" s="210"/>
      <c r="CI9" s="210"/>
      <c r="CJ9" s="210"/>
      <c r="CK9" s="210"/>
      <c r="CL9" s="210"/>
      <c r="CM9" s="211"/>
    </row>
    <row r="10" spans="1:91" ht="97.5" customHeight="1">
      <c r="B10" s="19" t="s">
        <v>34</v>
      </c>
      <c r="C10" s="100" t="s">
        <v>174</v>
      </c>
      <c r="D10" s="88" t="s">
        <v>145</v>
      </c>
      <c r="E10" s="233" t="s">
        <v>186</v>
      </c>
      <c r="F10" s="124"/>
      <c r="G10" s="124"/>
      <c r="H10" s="124"/>
      <c r="I10" s="124"/>
      <c r="J10" s="124"/>
      <c r="K10" s="124"/>
      <c r="L10" s="124"/>
      <c r="M10" s="124"/>
      <c r="N10" s="125"/>
      <c r="O10" s="164" t="s">
        <v>210</v>
      </c>
      <c r="P10" s="165"/>
      <c r="Q10" s="162"/>
      <c r="R10" s="162"/>
      <c r="S10" s="162"/>
      <c r="T10" s="162"/>
      <c r="U10" s="162"/>
      <c r="V10" s="162"/>
      <c r="W10" s="162"/>
      <c r="X10" s="162"/>
      <c r="Y10" s="163"/>
      <c r="Z10" s="126" t="s">
        <v>305</v>
      </c>
      <c r="AA10" s="127"/>
      <c r="AB10" s="128"/>
      <c r="AC10" s="128"/>
      <c r="AD10" s="128"/>
      <c r="AE10" s="128"/>
      <c r="AF10" s="128"/>
      <c r="AG10" s="128"/>
      <c r="AH10" s="128"/>
      <c r="AI10" s="128"/>
      <c r="AJ10" s="129"/>
      <c r="AK10" s="157" t="s">
        <v>149</v>
      </c>
      <c r="AL10" s="176"/>
      <c r="AM10" s="158"/>
      <c r="AN10" s="158"/>
      <c r="AO10" s="158"/>
      <c r="AP10" s="158"/>
      <c r="AQ10" s="158"/>
      <c r="AR10" s="158"/>
      <c r="AS10" s="158"/>
      <c r="AT10" s="158"/>
      <c r="AU10" s="159"/>
      <c r="AV10" s="72" t="s">
        <v>140</v>
      </c>
      <c r="AW10" s="73"/>
      <c r="AX10" s="73"/>
      <c r="AY10" s="73"/>
      <c r="AZ10" s="73"/>
      <c r="BA10" s="73"/>
      <c r="BB10" s="73"/>
      <c r="BC10" s="73"/>
      <c r="BD10" s="73"/>
      <c r="BE10" s="73"/>
      <c r="BF10" s="74"/>
      <c r="BG10" s="178" t="s">
        <v>164</v>
      </c>
      <c r="BH10" s="179"/>
      <c r="BI10" s="174"/>
      <c r="BJ10" s="174"/>
      <c r="BK10" s="174"/>
      <c r="BL10" s="174"/>
      <c r="BM10" s="174"/>
      <c r="BN10" s="174"/>
      <c r="BO10" s="174"/>
      <c r="BP10" s="174"/>
      <c r="BQ10" s="175"/>
      <c r="BR10" s="170" t="s">
        <v>111</v>
      </c>
      <c r="BS10" s="171"/>
      <c r="BT10" s="168"/>
      <c r="BU10" s="168"/>
      <c r="BV10" s="168"/>
      <c r="BW10" s="168"/>
      <c r="BX10" s="168"/>
      <c r="BY10" s="168"/>
      <c r="BZ10" s="168"/>
      <c r="CA10" s="168"/>
      <c r="CB10" s="169"/>
      <c r="CC10" s="164" t="s">
        <v>122</v>
      </c>
      <c r="CD10" s="165"/>
      <c r="CE10" s="162"/>
      <c r="CF10" s="162"/>
      <c r="CG10" s="162"/>
      <c r="CH10" s="162"/>
      <c r="CI10" s="162"/>
      <c r="CJ10" s="162"/>
      <c r="CK10" s="162"/>
      <c r="CL10" s="162"/>
      <c r="CM10" s="163"/>
    </row>
    <row r="11" spans="1:91" ht="65.25" customHeight="1">
      <c r="B11" s="20" t="s">
        <v>35</v>
      </c>
      <c r="C11" s="29" t="s">
        <v>175</v>
      </c>
      <c r="D11" s="90" t="s">
        <v>145</v>
      </c>
      <c r="E11" s="123" t="s">
        <v>187</v>
      </c>
      <c r="F11" s="124"/>
      <c r="G11" s="124"/>
      <c r="H11" s="124"/>
      <c r="I11" s="124"/>
      <c r="J11" s="124"/>
      <c r="K11" s="124"/>
      <c r="L11" s="124"/>
      <c r="M11" s="124"/>
      <c r="N11" s="125"/>
      <c r="O11" s="161" t="s">
        <v>211</v>
      </c>
      <c r="P11" s="162"/>
      <c r="Q11" s="162"/>
      <c r="R11" s="162"/>
      <c r="S11" s="162"/>
      <c r="T11" s="162"/>
      <c r="U11" s="162"/>
      <c r="V11" s="162"/>
      <c r="W11" s="162"/>
      <c r="X11" s="162"/>
      <c r="Y11" s="163"/>
      <c r="Z11" s="123" t="s">
        <v>187</v>
      </c>
      <c r="AA11" s="124"/>
      <c r="AB11" s="124"/>
      <c r="AC11" s="124"/>
      <c r="AD11" s="124"/>
      <c r="AE11" s="124"/>
      <c r="AF11" s="124"/>
      <c r="AG11" s="124"/>
      <c r="AH11" s="124"/>
      <c r="AI11" s="124"/>
      <c r="AJ11" s="125"/>
      <c r="AK11" s="160" t="s">
        <v>150</v>
      </c>
      <c r="AL11" s="158"/>
      <c r="AM11" s="158"/>
      <c r="AN11" s="158"/>
      <c r="AO11" s="158"/>
      <c r="AP11" s="158"/>
      <c r="AQ11" s="158"/>
      <c r="AR11" s="158"/>
      <c r="AS11" s="158"/>
      <c r="AT11" s="158"/>
      <c r="AU11" s="159"/>
      <c r="AV11" s="72" t="s">
        <v>140</v>
      </c>
      <c r="AW11" s="73"/>
      <c r="AX11" s="73"/>
      <c r="AY11" s="73"/>
      <c r="AZ11" s="73"/>
      <c r="BA11" s="73"/>
      <c r="BB11" s="73"/>
      <c r="BC11" s="73"/>
      <c r="BD11" s="73"/>
      <c r="BE11" s="73"/>
      <c r="BF11" s="74"/>
      <c r="BG11" s="178" t="s">
        <v>165</v>
      </c>
      <c r="BH11" s="179"/>
      <c r="BI11" s="179"/>
      <c r="BJ11" s="179"/>
      <c r="BK11" s="179"/>
      <c r="BL11" s="179"/>
      <c r="BM11" s="179"/>
      <c r="BN11" s="179"/>
      <c r="BO11" s="179"/>
      <c r="BP11" s="179"/>
      <c r="BQ11" s="180"/>
      <c r="BR11" s="170" t="s">
        <v>135</v>
      </c>
      <c r="BS11" s="171"/>
      <c r="BT11" s="171"/>
      <c r="BU11" s="171"/>
      <c r="BV11" s="171"/>
      <c r="BW11" s="171"/>
      <c r="BX11" s="171"/>
      <c r="BY11" s="171"/>
      <c r="BZ11" s="171"/>
      <c r="CA11" s="171"/>
      <c r="CB11" s="172"/>
      <c r="CC11" s="161" t="s">
        <v>123</v>
      </c>
      <c r="CD11" s="162"/>
      <c r="CE11" s="162"/>
      <c r="CF11" s="162"/>
      <c r="CG11" s="162"/>
      <c r="CH11" s="162"/>
      <c r="CI11" s="162"/>
      <c r="CJ11" s="162"/>
      <c r="CK11" s="162"/>
      <c r="CL11" s="162"/>
      <c r="CM11" s="163"/>
    </row>
    <row r="12" spans="1:91" ht="71.25" customHeight="1">
      <c r="B12" s="19" t="str">
        <f>参照元チェックリスト!B12</f>
        <v>1-3-1</v>
      </c>
      <c r="C12" s="93" t="s">
        <v>205</v>
      </c>
      <c r="D12" s="90" t="s">
        <v>145</v>
      </c>
      <c r="E12" s="233" t="s">
        <v>188</v>
      </c>
      <c r="F12" s="234"/>
      <c r="G12" s="234"/>
      <c r="H12" s="234"/>
      <c r="I12" s="234"/>
      <c r="J12" s="234"/>
      <c r="K12" s="234"/>
      <c r="L12" s="234"/>
      <c r="M12" s="234"/>
      <c r="N12" s="235"/>
      <c r="O12" s="164" t="s">
        <v>212</v>
      </c>
      <c r="P12" s="165"/>
      <c r="Q12" s="162"/>
      <c r="R12" s="162"/>
      <c r="S12" s="162"/>
      <c r="T12" s="162"/>
      <c r="U12" s="162"/>
      <c r="V12" s="162"/>
      <c r="W12" s="162"/>
      <c r="X12" s="162"/>
      <c r="Y12" s="163"/>
      <c r="Z12" s="126" t="s">
        <v>306</v>
      </c>
      <c r="AA12" s="127"/>
      <c r="AB12" s="128"/>
      <c r="AC12" s="128"/>
      <c r="AD12" s="128"/>
      <c r="AE12" s="128"/>
      <c r="AF12" s="128"/>
      <c r="AG12" s="128"/>
      <c r="AH12" s="128"/>
      <c r="AI12" s="128"/>
      <c r="AJ12" s="129"/>
      <c r="AK12" s="157" t="s">
        <v>151</v>
      </c>
      <c r="AL12" s="176"/>
      <c r="AM12" s="176"/>
      <c r="AN12" s="176"/>
      <c r="AO12" s="176"/>
      <c r="AP12" s="176"/>
      <c r="AQ12" s="176"/>
      <c r="AR12" s="176"/>
      <c r="AS12" s="176"/>
      <c r="AT12" s="176"/>
      <c r="AU12" s="177"/>
      <c r="AV12" s="72" t="s">
        <v>140</v>
      </c>
      <c r="AW12" s="73"/>
      <c r="AX12" s="73"/>
      <c r="AY12" s="73"/>
      <c r="AZ12" s="73"/>
      <c r="BA12" s="73"/>
      <c r="BB12" s="73"/>
      <c r="BC12" s="73"/>
      <c r="BD12" s="73"/>
      <c r="BE12" s="73"/>
      <c r="BF12" s="74"/>
      <c r="BG12" s="178" t="s">
        <v>166</v>
      </c>
      <c r="BH12" s="179"/>
      <c r="BI12" s="179"/>
      <c r="BJ12" s="179"/>
      <c r="BK12" s="179"/>
      <c r="BL12" s="179"/>
      <c r="BM12" s="179"/>
      <c r="BN12" s="179"/>
      <c r="BO12" s="179"/>
      <c r="BP12" s="179"/>
      <c r="BQ12" s="180"/>
      <c r="BR12" s="170" t="s">
        <v>112</v>
      </c>
      <c r="BS12" s="171"/>
      <c r="BT12" s="171"/>
      <c r="BU12" s="171"/>
      <c r="BV12" s="171"/>
      <c r="BW12" s="171"/>
      <c r="BX12" s="171"/>
      <c r="BY12" s="171"/>
      <c r="BZ12" s="171"/>
      <c r="CA12" s="171"/>
      <c r="CB12" s="172"/>
      <c r="CC12" s="161" t="s">
        <v>124</v>
      </c>
      <c r="CD12" s="162"/>
      <c r="CE12" s="162"/>
      <c r="CF12" s="162"/>
      <c r="CG12" s="162"/>
      <c r="CH12" s="162"/>
      <c r="CI12" s="162"/>
      <c r="CJ12" s="162"/>
      <c r="CK12" s="162"/>
      <c r="CL12" s="162"/>
      <c r="CM12" s="163"/>
    </row>
    <row r="13" spans="1:91" ht="100.5" customHeight="1">
      <c r="B13" s="95" t="s">
        <v>178</v>
      </c>
      <c r="C13" s="101" t="s">
        <v>208</v>
      </c>
      <c r="D13" s="90" t="s">
        <v>145</v>
      </c>
      <c r="E13" s="233" t="s">
        <v>189</v>
      </c>
      <c r="F13" s="234"/>
      <c r="G13" s="234"/>
      <c r="H13" s="234"/>
      <c r="I13" s="234"/>
      <c r="J13" s="234"/>
      <c r="K13" s="234"/>
      <c r="L13" s="234"/>
      <c r="M13" s="234"/>
      <c r="N13" s="235"/>
      <c r="O13" s="164" t="s">
        <v>223</v>
      </c>
      <c r="P13" s="165"/>
      <c r="Q13" s="162"/>
      <c r="R13" s="162"/>
      <c r="S13" s="162"/>
      <c r="T13" s="162"/>
      <c r="U13" s="162"/>
      <c r="V13" s="162"/>
      <c r="W13" s="162"/>
      <c r="X13" s="162"/>
      <c r="Y13" s="163"/>
      <c r="Z13" s="123" t="s">
        <v>253</v>
      </c>
      <c r="AA13" s="124"/>
      <c r="AB13" s="124"/>
      <c r="AC13" s="124"/>
      <c r="AD13" s="124"/>
      <c r="AE13" s="124"/>
      <c r="AF13" s="124"/>
      <c r="AG13" s="124"/>
      <c r="AH13" s="124"/>
      <c r="AI13" s="124"/>
      <c r="AJ13" s="125"/>
      <c r="AK13" s="157"/>
      <c r="AL13" s="176"/>
      <c r="AM13" s="176"/>
      <c r="AN13" s="176"/>
      <c r="AO13" s="176"/>
      <c r="AP13" s="176"/>
      <c r="AQ13" s="176"/>
      <c r="AR13" s="176"/>
      <c r="AS13" s="176"/>
      <c r="AT13" s="176"/>
      <c r="AU13" s="177"/>
      <c r="AV13" s="75"/>
      <c r="AW13" s="76"/>
      <c r="AX13" s="76"/>
      <c r="AY13" s="76"/>
      <c r="AZ13" s="76"/>
      <c r="BA13" s="76"/>
      <c r="BB13" s="76"/>
      <c r="BC13" s="76"/>
      <c r="BD13" s="76"/>
      <c r="BE13" s="76"/>
      <c r="BF13" s="77"/>
      <c r="BG13" s="157"/>
      <c r="BH13" s="176"/>
      <c r="BI13" s="176"/>
      <c r="BJ13" s="176"/>
      <c r="BK13" s="176"/>
      <c r="BL13" s="176"/>
      <c r="BM13" s="176"/>
      <c r="BN13" s="176"/>
      <c r="BO13" s="176"/>
      <c r="BP13" s="176"/>
      <c r="BQ13" s="177"/>
      <c r="BR13" s="157"/>
      <c r="BS13" s="176"/>
      <c r="BT13" s="176"/>
      <c r="BU13" s="176"/>
      <c r="BV13" s="176"/>
      <c r="BW13" s="176"/>
      <c r="BX13" s="176"/>
      <c r="BY13" s="176"/>
      <c r="BZ13" s="176"/>
      <c r="CA13" s="176"/>
      <c r="CB13" s="177"/>
      <c r="CC13" s="157"/>
      <c r="CD13" s="176"/>
      <c r="CE13" s="176"/>
      <c r="CF13" s="176"/>
      <c r="CG13" s="176"/>
      <c r="CH13" s="176"/>
      <c r="CI13" s="176"/>
      <c r="CJ13" s="176"/>
      <c r="CK13" s="176"/>
      <c r="CL13" s="176"/>
      <c r="CM13" s="177"/>
    </row>
    <row r="14" spans="1:91" ht="27">
      <c r="B14" s="103" t="s">
        <v>229</v>
      </c>
      <c r="C14" s="29" t="s">
        <v>246</v>
      </c>
      <c r="D14" s="132" t="s">
        <v>145</v>
      </c>
      <c r="E14" s="254" t="s">
        <v>236</v>
      </c>
      <c r="F14" s="255"/>
      <c r="G14" s="255"/>
      <c r="H14" s="255"/>
      <c r="I14" s="255"/>
      <c r="J14" s="255"/>
      <c r="K14" s="255"/>
      <c r="L14" s="255"/>
      <c r="M14" s="255"/>
      <c r="N14" s="256"/>
      <c r="O14" s="164" t="s">
        <v>236</v>
      </c>
      <c r="P14" s="165"/>
      <c r="Q14" s="165"/>
      <c r="R14" s="165"/>
      <c r="S14" s="165"/>
      <c r="T14" s="165"/>
      <c r="U14" s="165"/>
      <c r="V14" s="165"/>
      <c r="W14" s="165"/>
      <c r="X14" s="165"/>
      <c r="Y14" s="166"/>
      <c r="Z14" s="250" t="s">
        <v>236</v>
      </c>
      <c r="AA14" s="251"/>
      <c r="AB14" s="252"/>
      <c r="AC14" s="252"/>
      <c r="AD14" s="252"/>
      <c r="AE14" s="252"/>
      <c r="AF14" s="252"/>
      <c r="AG14" s="252"/>
      <c r="AH14" s="252"/>
      <c r="AI14" s="252"/>
      <c r="AJ14" s="253"/>
      <c r="AK14" s="126" t="s">
        <v>237</v>
      </c>
      <c r="AL14" s="127"/>
      <c r="AM14" s="127"/>
      <c r="AN14" s="127"/>
      <c r="AO14" s="127"/>
      <c r="AP14" s="127"/>
      <c r="AQ14" s="127"/>
      <c r="AR14" s="127"/>
      <c r="AS14" s="127"/>
      <c r="AT14" s="127"/>
      <c r="AU14" s="134"/>
      <c r="AV14" s="237" t="s">
        <v>238</v>
      </c>
      <c r="AW14" s="238"/>
      <c r="AX14" s="238"/>
      <c r="AY14" s="238"/>
      <c r="AZ14" s="238"/>
      <c r="BA14" s="238"/>
      <c r="BB14" s="238"/>
      <c r="BC14" s="238"/>
      <c r="BD14" s="238"/>
      <c r="BE14" s="238"/>
      <c r="BF14" s="239"/>
      <c r="BG14" s="126" t="s">
        <v>237</v>
      </c>
      <c r="BH14" s="127"/>
      <c r="BI14" s="127"/>
      <c r="BJ14" s="127"/>
      <c r="BK14" s="127"/>
      <c r="BL14" s="127"/>
      <c r="BM14" s="127"/>
      <c r="BN14" s="127"/>
      <c r="BO14" s="127"/>
      <c r="BP14" s="127"/>
      <c r="BQ14" s="134"/>
      <c r="BR14" s="126" t="s">
        <v>237</v>
      </c>
      <c r="BS14" s="127"/>
      <c r="BT14" s="127"/>
      <c r="BU14" s="127"/>
      <c r="BV14" s="127"/>
      <c r="BW14" s="127"/>
      <c r="BX14" s="127"/>
      <c r="BY14" s="127"/>
      <c r="BZ14" s="127"/>
      <c r="CA14" s="127"/>
      <c r="CB14" s="134"/>
      <c r="CC14" s="126" t="s">
        <v>237</v>
      </c>
      <c r="CD14" s="127"/>
      <c r="CE14" s="127"/>
      <c r="CF14" s="127"/>
      <c r="CG14" s="127"/>
      <c r="CH14" s="127"/>
      <c r="CI14" s="127"/>
      <c r="CJ14" s="127"/>
      <c r="CK14" s="127"/>
      <c r="CL14" s="127"/>
      <c r="CM14" s="134"/>
    </row>
    <row r="15" spans="1:91" ht="148.5">
      <c r="B15" s="103" t="s">
        <v>230</v>
      </c>
      <c r="C15" s="104" t="s">
        <v>245</v>
      </c>
      <c r="D15" s="135"/>
      <c r="E15" s="254"/>
      <c r="F15" s="255"/>
      <c r="G15" s="255"/>
      <c r="H15" s="255"/>
      <c r="I15" s="255"/>
      <c r="J15" s="255"/>
      <c r="K15" s="255"/>
      <c r="L15" s="255"/>
      <c r="M15" s="255"/>
      <c r="N15" s="256"/>
      <c r="O15" s="164" t="s">
        <v>251</v>
      </c>
      <c r="P15" s="165"/>
      <c r="Q15" s="165"/>
      <c r="R15" s="165"/>
      <c r="S15" s="165"/>
      <c r="T15" s="165"/>
      <c r="U15" s="165"/>
      <c r="V15" s="165"/>
      <c r="W15" s="165"/>
      <c r="X15" s="165"/>
      <c r="Y15" s="166"/>
      <c r="Z15" s="257" t="s">
        <v>265</v>
      </c>
      <c r="AA15" s="258"/>
      <c r="AB15" s="259"/>
      <c r="AC15" s="259"/>
      <c r="AD15" s="259"/>
      <c r="AE15" s="259"/>
      <c r="AF15" s="259"/>
      <c r="AG15" s="259"/>
      <c r="AH15" s="259"/>
      <c r="AI15" s="259"/>
      <c r="AJ15" s="260"/>
      <c r="AK15" s="126" t="s">
        <v>240</v>
      </c>
      <c r="AL15" s="127"/>
      <c r="AM15" s="127"/>
      <c r="AN15" s="127"/>
      <c r="AO15" s="127"/>
      <c r="AP15" s="127"/>
      <c r="AQ15" s="127"/>
      <c r="AR15" s="127"/>
      <c r="AS15" s="127"/>
      <c r="AT15" s="127"/>
      <c r="AU15" s="134"/>
      <c r="AV15" s="237" t="s">
        <v>238</v>
      </c>
      <c r="AW15" s="238"/>
      <c r="AX15" s="238"/>
      <c r="AY15" s="238"/>
      <c r="AZ15" s="238"/>
      <c r="BA15" s="238"/>
      <c r="BB15" s="238"/>
      <c r="BC15" s="238"/>
      <c r="BD15" s="238"/>
      <c r="BE15" s="238"/>
      <c r="BF15" s="239"/>
      <c r="BG15" s="126" t="s">
        <v>248</v>
      </c>
      <c r="BH15" s="127"/>
      <c r="BI15" s="127"/>
      <c r="BJ15" s="127"/>
      <c r="BK15" s="127"/>
      <c r="BL15" s="127"/>
      <c r="BM15" s="127"/>
      <c r="BN15" s="127"/>
      <c r="BO15" s="127"/>
      <c r="BP15" s="127"/>
      <c r="BQ15" s="134"/>
      <c r="BR15" s="126" t="s">
        <v>249</v>
      </c>
      <c r="BS15" s="127"/>
      <c r="BT15" s="127"/>
      <c r="BU15" s="127"/>
      <c r="BV15" s="127"/>
      <c r="BW15" s="127"/>
      <c r="BX15" s="127"/>
      <c r="BY15" s="127"/>
      <c r="BZ15" s="127"/>
      <c r="CA15" s="127"/>
      <c r="CB15" s="134"/>
      <c r="CC15" s="126" t="s">
        <v>250</v>
      </c>
      <c r="CD15" s="127"/>
      <c r="CE15" s="127"/>
      <c r="CF15" s="127"/>
      <c r="CG15" s="127"/>
      <c r="CH15" s="127"/>
      <c r="CI15" s="127"/>
      <c r="CJ15" s="127"/>
      <c r="CK15" s="127"/>
      <c r="CL15" s="127"/>
      <c r="CM15" s="134"/>
    </row>
    <row r="16" spans="1:91" ht="276.75" customHeight="1">
      <c r="B16" s="130" t="s">
        <v>231</v>
      </c>
      <c r="C16" s="132" t="s">
        <v>267</v>
      </c>
      <c r="D16" s="135"/>
      <c r="E16" s="236" t="s">
        <v>235</v>
      </c>
      <c r="F16" s="158"/>
      <c r="G16" s="158"/>
      <c r="H16" s="158"/>
      <c r="I16" s="158"/>
      <c r="J16" s="158"/>
      <c r="K16" s="158"/>
      <c r="L16" s="158"/>
      <c r="M16" s="158"/>
      <c r="N16" s="159"/>
      <c r="O16" s="164" t="s">
        <v>239</v>
      </c>
      <c r="P16" s="165"/>
      <c r="Q16" s="162"/>
      <c r="R16" s="162"/>
      <c r="S16" s="162"/>
      <c r="T16" s="162"/>
      <c r="U16" s="162"/>
      <c r="V16" s="162"/>
      <c r="W16" s="162"/>
      <c r="X16" s="162"/>
      <c r="Y16" s="163"/>
      <c r="Z16" s="261" t="s">
        <v>264</v>
      </c>
      <c r="AA16" s="262"/>
      <c r="AB16" s="262"/>
      <c r="AC16" s="262"/>
      <c r="AD16" s="262"/>
      <c r="AE16" s="262"/>
      <c r="AF16" s="262"/>
      <c r="AG16" s="262"/>
      <c r="AH16" s="262"/>
      <c r="AI16" s="262"/>
      <c r="AJ16" s="263"/>
      <c r="AK16" s="157" t="s">
        <v>241</v>
      </c>
      <c r="AL16" s="176"/>
      <c r="AM16" s="158"/>
      <c r="AN16" s="158"/>
      <c r="AO16" s="158"/>
      <c r="AP16" s="158"/>
      <c r="AQ16" s="158"/>
      <c r="AR16" s="158"/>
      <c r="AS16" s="158"/>
      <c r="AT16" s="158"/>
      <c r="AU16" s="159"/>
      <c r="AV16" s="227" t="s">
        <v>140</v>
      </c>
      <c r="AW16" s="228"/>
      <c r="AX16" s="228"/>
      <c r="AY16" s="228"/>
      <c r="AZ16" s="228"/>
      <c r="BA16" s="228"/>
      <c r="BB16" s="228"/>
      <c r="BC16" s="228"/>
      <c r="BD16" s="228"/>
      <c r="BE16" s="228"/>
      <c r="BF16" s="229"/>
      <c r="BG16" s="178" t="s">
        <v>242</v>
      </c>
      <c r="BH16" s="179"/>
      <c r="BI16" s="179"/>
      <c r="BJ16" s="179"/>
      <c r="BK16" s="179"/>
      <c r="BL16" s="179"/>
      <c r="BM16" s="179"/>
      <c r="BN16" s="179"/>
      <c r="BO16" s="179"/>
      <c r="BP16" s="179"/>
      <c r="BQ16" s="180"/>
      <c r="BR16" s="170" t="s">
        <v>243</v>
      </c>
      <c r="BS16" s="171"/>
      <c r="BT16" s="171"/>
      <c r="BU16" s="171"/>
      <c r="BV16" s="171"/>
      <c r="BW16" s="171"/>
      <c r="BX16" s="171"/>
      <c r="BY16" s="171"/>
      <c r="BZ16" s="171"/>
      <c r="CA16" s="171"/>
      <c r="CB16" s="172"/>
      <c r="CC16" s="164" t="s">
        <v>244</v>
      </c>
      <c r="CD16" s="165"/>
      <c r="CE16" s="162"/>
      <c r="CF16" s="162"/>
      <c r="CG16" s="162"/>
      <c r="CH16" s="162"/>
      <c r="CI16" s="162"/>
      <c r="CJ16" s="162"/>
      <c r="CK16" s="162"/>
      <c r="CL16" s="162"/>
      <c r="CM16" s="163"/>
    </row>
    <row r="17" spans="2:91" ht="182.25" customHeight="1">
      <c r="B17" s="131"/>
      <c r="C17" s="133"/>
      <c r="D17" s="136"/>
      <c r="E17" s="194" t="s">
        <v>190</v>
      </c>
      <c r="F17" s="195"/>
      <c r="G17" s="195"/>
      <c r="H17" s="195"/>
      <c r="I17" s="195"/>
      <c r="J17" s="195"/>
      <c r="K17" s="195"/>
      <c r="L17" s="195"/>
      <c r="M17" s="195"/>
      <c r="N17" s="196"/>
      <c r="O17" s="164" t="s">
        <v>213</v>
      </c>
      <c r="P17" s="165"/>
      <c r="Q17" s="165"/>
      <c r="R17" s="165"/>
      <c r="S17" s="165"/>
      <c r="T17" s="165"/>
      <c r="U17" s="165"/>
      <c r="V17" s="165"/>
      <c r="W17" s="165"/>
      <c r="X17" s="165"/>
      <c r="Y17" s="166"/>
      <c r="Z17" s="126" t="s">
        <v>254</v>
      </c>
      <c r="AA17" s="127"/>
      <c r="AB17" s="127"/>
      <c r="AC17" s="127"/>
      <c r="AD17" s="127"/>
      <c r="AE17" s="127"/>
      <c r="AF17" s="127"/>
      <c r="AG17" s="127"/>
      <c r="AH17" s="127"/>
      <c r="AI17" s="127"/>
      <c r="AJ17" s="134"/>
      <c r="AK17" s="194" t="s">
        <v>152</v>
      </c>
      <c r="AL17" s="195"/>
      <c r="AM17" s="195"/>
      <c r="AN17" s="195"/>
      <c r="AO17" s="195"/>
      <c r="AP17" s="195"/>
      <c r="AQ17" s="195"/>
      <c r="AR17" s="195"/>
      <c r="AS17" s="195"/>
      <c r="AT17" s="195"/>
      <c r="AU17" s="196"/>
      <c r="AV17" s="230"/>
      <c r="AW17" s="231"/>
      <c r="AX17" s="231"/>
      <c r="AY17" s="231"/>
      <c r="AZ17" s="231"/>
      <c r="BA17" s="231"/>
      <c r="BB17" s="231"/>
      <c r="BC17" s="231"/>
      <c r="BD17" s="231"/>
      <c r="BE17" s="231"/>
      <c r="BF17" s="232"/>
      <c r="BG17" s="178" t="s">
        <v>167</v>
      </c>
      <c r="BH17" s="179"/>
      <c r="BI17" s="179"/>
      <c r="BJ17" s="179"/>
      <c r="BK17" s="179"/>
      <c r="BL17" s="179"/>
      <c r="BM17" s="179"/>
      <c r="BN17" s="179"/>
      <c r="BO17" s="179"/>
      <c r="BP17" s="179"/>
      <c r="BQ17" s="180"/>
      <c r="BR17" s="170" t="s">
        <v>129</v>
      </c>
      <c r="BS17" s="171"/>
      <c r="BT17" s="171"/>
      <c r="BU17" s="171"/>
      <c r="BV17" s="171"/>
      <c r="BW17" s="171"/>
      <c r="BX17" s="171"/>
      <c r="BY17" s="171"/>
      <c r="BZ17" s="171"/>
      <c r="CA17" s="171"/>
      <c r="CB17" s="172"/>
      <c r="CC17" s="164" t="s">
        <v>130</v>
      </c>
      <c r="CD17" s="165"/>
      <c r="CE17" s="165"/>
      <c r="CF17" s="165"/>
      <c r="CG17" s="165"/>
      <c r="CH17" s="165"/>
      <c r="CI17" s="165"/>
      <c r="CJ17" s="165"/>
      <c r="CK17" s="165"/>
      <c r="CL17" s="165"/>
      <c r="CM17" s="166"/>
    </row>
    <row r="18" spans="2:91" ht="165" customHeight="1">
      <c r="B18" s="19" t="s">
        <v>36</v>
      </c>
      <c r="C18" s="27" t="s">
        <v>52</v>
      </c>
      <c r="D18" s="90" t="s">
        <v>146</v>
      </c>
      <c r="E18" s="157" t="s">
        <v>192</v>
      </c>
      <c r="F18" s="176"/>
      <c r="G18" s="176"/>
      <c r="H18" s="176"/>
      <c r="I18" s="176"/>
      <c r="J18" s="176"/>
      <c r="K18" s="176"/>
      <c r="L18" s="176"/>
      <c r="M18" s="176"/>
      <c r="N18" s="177"/>
      <c r="O18" s="164" t="s">
        <v>214</v>
      </c>
      <c r="P18" s="165"/>
      <c r="Q18" s="165"/>
      <c r="R18" s="165"/>
      <c r="S18" s="165"/>
      <c r="T18" s="165"/>
      <c r="U18" s="165"/>
      <c r="V18" s="165"/>
      <c r="W18" s="165"/>
      <c r="X18" s="165"/>
      <c r="Y18" s="166"/>
      <c r="Z18" s="233" t="s">
        <v>255</v>
      </c>
      <c r="AA18" s="234"/>
      <c r="AB18" s="234"/>
      <c r="AC18" s="234"/>
      <c r="AD18" s="234"/>
      <c r="AE18" s="234"/>
      <c r="AF18" s="234"/>
      <c r="AG18" s="234"/>
      <c r="AH18" s="234"/>
      <c r="AI18" s="234"/>
      <c r="AJ18" s="235"/>
      <c r="AK18" s="157" t="s">
        <v>153</v>
      </c>
      <c r="AL18" s="176"/>
      <c r="AM18" s="176"/>
      <c r="AN18" s="176"/>
      <c r="AO18" s="176"/>
      <c r="AP18" s="176"/>
      <c r="AQ18" s="176"/>
      <c r="AR18" s="176"/>
      <c r="AS18" s="176"/>
      <c r="AT18" s="176"/>
      <c r="AU18" s="177"/>
      <c r="AV18" s="157" t="s">
        <v>141</v>
      </c>
      <c r="AW18" s="176"/>
      <c r="AX18" s="176"/>
      <c r="AY18" s="176"/>
      <c r="AZ18" s="176"/>
      <c r="BA18" s="176"/>
      <c r="BB18" s="176"/>
      <c r="BC18" s="176"/>
      <c r="BD18" s="176"/>
      <c r="BE18" s="176"/>
      <c r="BF18" s="177"/>
      <c r="BG18" s="178" t="s">
        <v>113</v>
      </c>
      <c r="BH18" s="179"/>
      <c r="BI18" s="179"/>
      <c r="BJ18" s="179"/>
      <c r="BK18" s="179"/>
      <c r="BL18" s="179"/>
      <c r="BM18" s="179"/>
      <c r="BN18" s="179"/>
      <c r="BO18" s="179"/>
      <c r="BP18" s="179"/>
      <c r="BQ18" s="180"/>
      <c r="BR18" s="170" t="s">
        <v>113</v>
      </c>
      <c r="BS18" s="171"/>
      <c r="BT18" s="171"/>
      <c r="BU18" s="171"/>
      <c r="BV18" s="171"/>
      <c r="BW18" s="171"/>
      <c r="BX18" s="171"/>
      <c r="BY18" s="171"/>
      <c r="BZ18" s="171"/>
      <c r="CA18" s="171"/>
      <c r="CB18" s="172"/>
      <c r="CC18" s="164" t="s">
        <v>125</v>
      </c>
      <c r="CD18" s="165"/>
      <c r="CE18" s="165"/>
      <c r="CF18" s="165"/>
      <c r="CG18" s="165"/>
      <c r="CH18" s="165"/>
      <c r="CI18" s="165"/>
      <c r="CJ18" s="165"/>
      <c r="CK18" s="165"/>
      <c r="CL18" s="165"/>
      <c r="CM18" s="166"/>
    </row>
    <row r="19" spans="2:91" ht="74.25" customHeight="1">
      <c r="B19" s="20" t="s">
        <v>37</v>
      </c>
      <c r="C19" s="27" t="s">
        <v>53</v>
      </c>
      <c r="D19" s="90" t="s">
        <v>145</v>
      </c>
      <c r="E19" s="160" t="s">
        <v>193</v>
      </c>
      <c r="F19" s="158"/>
      <c r="G19" s="158"/>
      <c r="H19" s="158"/>
      <c r="I19" s="158"/>
      <c r="J19" s="158"/>
      <c r="K19" s="158"/>
      <c r="L19" s="158"/>
      <c r="M19" s="158"/>
      <c r="N19" s="159"/>
      <c r="O19" s="164" t="s">
        <v>215</v>
      </c>
      <c r="P19" s="165"/>
      <c r="Q19" s="162"/>
      <c r="R19" s="162"/>
      <c r="S19" s="162"/>
      <c r="T19" s="162"/>
      <c r="U19" s="162"/>
      <c r="V19" s="162"/>
      <c r="W19" s="162"/>
      <c r="X19" s="162"/>
      <c r="Y19" s="163"/>
      <c r="Z19" s="233" t="s">
        <v>256</v>
      </c>
      <c r="AA19" s="234"/>
      <c r="AB19" s="234"/>
      <c r="AC19" s="234"/>
      <c r="AD19" s="234"/>
      <c r="AE19" s="234"/>
      <c r="AF19" s="234"/>
      <c r="AG19" s="234"/>
      <c r="AH19" s="234"/>
      <c r="AI19" s="234"/>
      <c r="AJ19" s="235"/>
      <c r="AK19" s="157" t="s">
        <v>154</v>
      </c>
      <c r="AL19" s="176"/>
      <c r="AM19" s="158"/>
      <c r="AN19" s="158"/>
      <c r="AO19" s="158"/>
      <c r="AP19" s="158"/>
      <c r="AQ19" s="158"/>
      <c r="AR19" s="158"/>
      <c r="AS19" s="158"/>
      <c r="AT19" s="158"/>
      <c r="AU19" s="159"/>
      <c r="AV19" s="72" t="s">
        <v>140</v>
      </c>
      <c r="AW19" s="73"/>
      <c r="AX19" s="73"/>
      <c r="AY19" s="73"/>
      <c r="AZ19" s="73"/>
      <c r="BA19" s="73"/>
      <c r="BB19" s="73"/>
      <c r="BC19" s="73"/>
      <c r="BD19" s="73"/>
      <c r="BE19" s="73"/>
      <c r="BF19" s="74"/>
      <c r="BG19" s="178" t="s">
        <v>168</v>
      </c>
      <c r="BH19" s="179"/>
      <c r="BI19" s="179"/>
      <c r="BJ19" s="179"/>
      <c r="BK19" s="179"/>
      <c r="BL19" s="179"/>
      <c r="BM19" s="179"/>
      <c r="BN19" s="179"/>
      <c r="BO19" s="179"/>
      <c r="BP19" s="179"/>
      <c r="BQ19" s="180"/>
      <c r="BR19" s="167" t="s">
        <v>114</v>
      </c>
      <c r="BS19" s="168"/>
      <c r="BT19" s="168"/>
      <c r="BU19" s="168"/>
      <c r="BV19" s="168"/>
      <c r="BW19" s="168"/>
      <c r="BX19" s="168"/>
      <c r="BY19" s="168"/>
      <c r="BZ19" s="168"/>
      <c r="CA19" s="168"/>
      <c r="CB19" s="169"/>
      <c r="CC19" s="164" t="s">
        <v>126</v>
      </c>
      <c r="CD19" s="165"/>
      <c r="CE19" s="162"/>
      <c r="CF19" s="162"/>
      <c r="CG19" s="162"/>
      <c r="CH19" s="162"/>
      <c r="CI19" s="162"/>
      <c r="CJ19" s="162"/>
      <c r="CK19" s="162"/>
      <c r="CL19" s="162"/>
      <c r="CM19" s="163"/>
    </row>
    <row r="20" spans="2:91" ht="67.5" customHeight="1">
      <c r="B20" s="19" t="s">
        <v>38</v>
      </c>
      <c r="C20" s="27" t="s">
        <v>49</v>
      </c>
      <c r="D20" s="90" t="s">
        <v>145</v>
      </c>
      <c r="E20" s="157" t="s">
        <v>194</v>
      </c>
      <c r="F20" s="176"/>
      <c r="G20" s="176"/>
      <c r="H20" s="176"/>
      <c r="I20" s="176"/>
      <c r="J20" s="176"/>
      <c r="K20" s="176"/>
      <c r="L20" s="176"/>
      <c r="M20" s="176"/>
      <c r="N20" s="177"/>
      <c r="O20" s="164" t="s">
        <v>216</v>
      </c>
      <c r="P20" s="165"/>
      <c r="Q20" s="162"/>
      <c r="R20" s="162"/>
      <c r="S20" s="162"/>
      <c r="T20" s="162"/>
      <c r="U20" s="162"/>
      <c r="V20" s="162"/>
      <c r="W20" s="162"/>
      <c r="X20" s="162"/>
      <c r="Y20" s="163"/>
      <c r="Z20" s="233" t="s">
        <v>257</v>
      </c>
      <c r="AA20" s="234"/>
      <c r="AB20" s="234"/>
      <c r="AC20" s="234"/>
      <c r="AD20" s="234"/>
      <c r="AE20" s="234"/>
      <c r="AF20" s="234"/>
      <c r="AG20" s="234"/>
      <c r="AH20" s="234"/>
      <c r="AI20" s="234"/>
      <c r="AJ20" s="235"/>
      <c r="AK20" s="157" t="s">
        <v>155</v>
      </c>
      <c r="AL20" s="176"/>
      <c r="AM20" s="158"/>
      <c r="AN20" s="158"/>
      <c r="AO20" s="158"/>
      <c r="AP20" s="158"/>
      <c r="AQ20" s="158"/>
      <c r="AR20" s="158"/>
      <c r="AS20" s="158"/>
      <c r="AT20" s="158"/>
      <c r="AU20" s="159"/>
      <c r="AV20" s="72" t="s">
        <v>140</v>
      </c>
      <c r="AW20" s="73"/>
      <c r="AX20" s="73"/>
      <c r="AY20" s="73"/>
      <c r="AZ20" s="73"/>
      <c r="BA20" s="73"/>
      <c r="BB20" s="73"/>
      <c r="BC20" s="73"/>
      <c r="BD20" s="73"/>
      <c r="BE20" s="73"/>
      <c r="BF20" s="74"/>
      <c r="BG20" s="178" t="s">
        <v>169</v>
      </c>
      <c r="BH20" s="179"/>
      <c r="BI20" s="179"/>
      <c r="BJ20" s="179"/>
      <c r="BK20" s="179"/>
      <c r="BL20" s="179"/>
      <c r="BM20" s="179"/>
      <c r="BN20" s="179"/>
      <c r="BO20" s="179"/>
      <c r="BP20" s="179"/>
      <c r="BQ20" s="180"/>
      <c r="BR20" s="170" t="s">
        <v>115</v>
      </c>
      <c r="BS20" s="171"/>
      <c r="BT20" s="171"/>
      <c r="BU20" s="171"/>
      <c r="BV20" s="171"/>
      <c r="BW20" s="171"/>
      <c r="BX20" s="171"/>
      <c r="BY20" s="171"/>
      <c r="BZ20" s="171"/>
      <c r="CA20" s="171"/>
      <c r="CB20" s="172"/>
      <c r="CC20" s="161" t="s">
        <v>127</v>
      </c>
      <c r="CD20" s="162"/>
      <c r="CE20" s="162"/>
      <c r="CF20" s="162"/>
      <c r="CG20" s="162"/>
      <c r="CH20" s="162"/>
      <c r="CI20" s="162"/>
      <c r="CJ20" s="162"/>
      <c r="CK20" s="162"/>
      <c r="CL20" s="162"/>
      <c r="CM20" s="163"/>
    </row>
    <row r="21" spans="2:91" ht="13.5" customHeight="1">
      <c r="B21" s="20" t="s">
        <v>39</v>
      </c>
      <c r="C21" s="27" t="s">
        <v>31</v>
      </c>
      <c r="D21" s="90" t="s">
        <v>145</v>
      </c>
      <c r="E21" s="160" t="s">
        <v>195</v>
      </c>
      <c r="F21" s="158"/>
      <c r="G21" s="158"/>
      <c r="H21" s="158"/>
      <c r="I21" s="158"/>
      <c r="J21" s="158"/>
      <c r="K21" s="158"/>
      <c r="L21" s="158"/>
      <c r="M21" s="158"/>
      <c r="N21" s="159"/>
      <c r="O21" s="161" t="s">
        <v>217</v>
      </c>
      <c r="P21" s="162"/>
      <c r="Q21" s="162"/>
      <c r="R21" s="162"/>
      <c r="S21" s="162"/>
      <c r="T21" s="162"/>
      <c r="U21" s="162"/>
      <c r="V21" s="162"/>
      <c r="W21" s="162"/>
      <c r="X21" s="162"/>
      <c r="Y21" s="163"/>
      <c r="Z21" s="233" t="s">
        <v>258</v>
      </c>
      <c r="AA21" s="234"/>
      <c r="AB21" s="234"/>
      <c r="AC21" s="234"/>
      <c r="AD21" s="234"/>
      <c r="AE21" s="234"/>
      <c r="AF21" s="234"/>
      <c r="AG21" s="234"/>
      <c r="AH21" s="234"/>
      <c r="AI21" s="234"/>
      <c r="AJ21" s="235"/>
      <c r="AK21" s="160" t="s">
        <v>156</v>
      </c>
      <c r="AL21" s="158"/>
      <c r="AM21" s="158"/>
      <c r="AN21" s="158"/>
      <c r="AO21" s="158"/>
      <c r="AP21" s="158"/>
      <c r="AQ21" s="158"/>
      <c r="AR21" s="158"/>
      <c r="AS21" s="158"/>
      <c r="AT21" s="158"/>
      <c r="AU21" s="159"/>
      <c r="AV21" s="72" t="s">
        <v>140</v>
      </c>
      <c r="AW21" s="73"/>
      <c r="AX21" s="73"/>
      <c r="AY21" s="73"/>
      <c r="AZ21" s="73"/>
      <c r="BA21" s="73"/>
      <c r="BB21" s="73"/>
      <c r="BC21" s="73"/>
      <c r="BD21" s="73"/>
      <c r="BE21" s="73"/>
      <c r="BF21" s="74"/>
      <c r="BG21" s="173" t="s">
        <v>116</v>
      </c>
      <c r="BH21" s="174"/>
      <c r="BI21" s="174"/>
      <c r="BJ21" s="174"/>
      <c r="BK21" s="174"/>
      <c r="BL21" s="174"/>
      <c r="BM21" s="174"/>
      <c r="BN21" s="174"/>
      <c r="BO21" s="174"/>
      <c r="BP21" s="174"/>
      <c r="BQ21" s="175"/>
      <c r="BR21" s="167" t="s">
        <v>116</v>
      </c>
      <c r="BS21" s="168"/>
      <c r="BT21" s="168"/>
      <c r="BU21" s="168"/>
      <c r="BV21" s="168"/>
      <c r="BW21" s="168"/>
      <c r="BX21" s="168"/>
      <c r="BY21" s="168"/>
      <c r="BZ21" s="168"/>
      <c r="CA21" s="168"/>
      <c r="CB21" s="169"/>
      <c r="CC21" s="161" t="s">
        <v>116</v>
      </c>
      <c r="CD21" s="162"/>
      <c r="CE21" s="162"/>
      <c r="CF21" s="162"/>
      <c r="CG21" s="162"/>
      <c r="CH21" s="162"/>
      <c r="CI21" s="162"/>
      <c r="CJ21" s="162"/>
      <c r="CK21" s="162"/>
      <c r="CL21" s="162"/>
      <c r="CM21" s="163"/>
    </row>
    <row r="22" spans="2:91" ht="13.5" customHeight="1">
      <c r="B22" s="19" t="s">
        <v>40</v>
      </c>
      <c r="C22" s="27" t="s">
        <v>21</v>
      </c>
      <c r="D22" s="90" t="s">
        <v>145</v>
      </c>
      <c r="E22" s="157" t="s">
        <v>196</v>
      </c>
      <c r="F22" s="176"/>
      <c r="G22" s="176"/>
      <c r="H22" s="176"/>
      <c r="I22" s="176"/>
      <c r="J22" s="176"/>
      <c r="K22" s="176"/>
      <c r="L22" s="176"/>
      <c r="M22" s="176"/>
      <c r="N22" s="177"/>
      <c r="O22" s="164" t="s">
        <v>218</v>
      </c>
      <c r="P22" s="165"/>
      <c r="Q22" s="162"/>
      <c r="R22" s="162"/>
      <c r="S22" s="162"/>
      <c r="T22" s="162"/>
      <c r="U22" s="162"/>
      <c r="V22" s="162"/>
      <c r="W22" s="162"/>
      <c r="X22" s="162"/>
      <c r="Y22" s="163"/>
      <c r="Z22" s="233" t="s">
        <v>259</v>
      </c>
      <c r="AA22" s="234"/>
      <c r="AB22" s="234"/>
      <c r="AC22" s="234"/>
      <c r="AD22" s="234"/>
      <c r="AE22" s="234"/>
      <c r="AF22" s="234"/>
      <c r="AG22" s="234"/>
      <c r="AH22" s="234"/>
      <c r="AI22" s="234"/>
      <c r="AJ22" s="235"/>
      <c r="AK22" s="157" t="s">
        <v>157</v>
      </c>
      <c r="AL22" s="176"/>
      <c r="AM22" s="158"/>
      <c r="AN22" s="158"/>
      <c r="AO22" s="158"/>
      <c r="AP22" s="158"/>
      <c r="AQ22" s="158"/>
      <c r="AR22" s="158"/>
      <c r="AS22" s="158"/>
      <c r="AT22" s="158"/>
      <c r="AU22" s="159"/>
      <c r="AV22" s="72" t="s">
        <v>140</v>
      </c>
      <c r="AW22" s="73"/>
      <c r="AX22" s="73"/>
      <c r="AY22" s="73"/>
      <c r="AZ22" s="73"/>
      <c r="BA22" s="73"/>
      <c r="BB22" s="73"/>
      <c r="BC22" s="73"/>
      <c r="BD22" s="73"/>
      <c r="BE22" s="73"/>
      <c r="BF22" s="74"/>
      <c r="BG22" s="173" t="s">
        <v>117</v>
      </c>
      <c r="BH22" s="174"/>
      <c r="BI22" s="174"/>
      <c r="BJ22" s="174"/>
      <c r="BK22" s="174"/>
      <c r="BL22" s="174"/>
      <c r="BM22" s="174"/>
      <c r="BN22" s="174"/>
      <c r="BO22" s="174"/>
      <c r="BP22" s="174"/>
      <c r="BQ22" s="175"/>
      <c r="BR22" s="167" t="s">
        <v>117</v>
      </c>
      <c r="BS22" s="168"/>
      <c r="BT22" s="168"/>
      <c r="BU22" s="168"/>
      <c r="BV22" s="168"/>
      <c r="BW22" s="168"/>
      <c r="BX22" s="168"/>
      <c r="BY22" s="168"/>
      <c r="BZ22" s="168"/>
      <c r="CA22" s="168"/>
      <c r="CB22" s="169"/>
      <c r="CC22" s="161" t="s">
        <v>117</v>
      </c>
      <c r="CD22" s="162"/>
      <c r="CE22" s="162"/>
      <c r="CF22" s="162"/>
      <c r="CG22" s="162"/>
      <c r="CH22" s="162"/>
      <c r="CI22" s="162"/>
      <c r="CJ22" s="162"/>
      <c r="CK22" s="162"/>
      <c r="CL22" s="162"/>
      <c r="CM22" s="163"/>
    </row>
    <row r="23" spans="2:91" ht="66" customHeight="1">
      <c r="B23" s="20" t="s">
        <v>41</v>
      </c>
      <c r="C23" s="28" t="s">
        <v>46</v>
      </c>
      <c r="D23" s="93" t="s">
        <v>145</v>
      </c>
      <c r="E23" s="160" t="s">
        <v>197</v>
      </c>
      <c r="F23" s="158"/>
      <c r="G23" s="158"/>
      <c r="H23" s="158"/>
      <c r="I23" s="158"/>
      <c r="J23" s="158"/>
      <c r="K23" s="158"/>
      <c r="L23" s="158"/>
      <c r="M23" s="158"/>
      <c r="N23" s="159"/>
      <c r="O23" s="161" t="s">
        <v>219</v>
      </c>
      <c r="P23" s="162"/>
      <c r="Q23" s="162"/>
      <c r="R23" s="162"/>
      <c r="S23" s="162"/>
      <c r="T23" s="162"/>
      <c r="U23" s="162"/>
      <c r="V23" s="162"/>
      <c r="W23" s="162"/>
      <c r="X23" s="162"/>
      <c r="Y23" s="163"/>
      <c r="Z23" s="233" t="s">
        <v>260</v>
      </c>
      <c r="AA23" s="234"/>
      <c r="AB23" s="234"/>
      <c r="AC23" s="234"/>
      <c r="AD23" s="234"/>
      <c r="AE23" s="234"/>
      <c r="AF23" s="234"/>
      <c r="AG23" s="234"/>
      <c r="AH23" s="234"/>
      <c r="AI23" s="234"/>
      <c r="AJ23" s="235"/>
      <c r="AK23" s="157" t="s">
        <v>158</v>
      </c>
      <c r="AL23" s="176"/>
      <c r="AM23" s="158"/>
      <c r="AN23" s="158"/>
      <c r="AO23" s="158"/>
      <c r="AP23" s="158"/>
      <c r="AQ23" s="158"/>
      <c r="AR23" s="158"/>
      <c r="AS23" s="158"/>
      <c r="AT23" s="158"/>
      <c r="AU23" s="159"/>
      <c r="AV23" s="72" t="s">
        <v>140</v>
      </c>
      <c r="AW23" s="73"/>
      <c r="AX23" s="73"/>
      <c r="AY23" s="73"/>
      <c r="AZ23" s="73"/>
      <c r="BA23" s="73"/>
      <c r="BB23" s="73"/>
      <c r="BC23" s="73"/>
      <c r="BD23" s="73"/>
      <c r="BE23" s="73"/>
      <c r="BF23" s="74"/>
      <c r="BG23" s="178" t="s">
        <v>170</v>
      </c>
      <c r="BH23" s="179"/>
      <c r="BI23" s="179"/>
      <c r="BJ23" s="179"/>
      <c r="BK23" s="179"/>
      <c r="BL23" s="179"/>
      <c r="BM23" s="179"/>
      <c r="BN23" s="179"/>
      <c r="BO23" s="179"/>
      <c r="BP23" s="179"/>
      <c r="BQ23" s="180"/>
      <c r="BR23" s="167" t="s">
        <v>118</v>
      </c>
      <c r="BS23" s="168"/>
      <c r="BT23" s="168"/>
      <c r="BU23" s="168"/>
      <c r="BV23" s="168"/>
      <c r="BW23" s="168"/>
      <c r="BX23" s="168"/>
      <c r="BY23" s="168"/>
      <c r="BZ23" s="168"/>
      <c r="CA23" s="168"/>
      <c r="CB23" s="169"/>
      <c r="CC23" s="167" t="s">
        <v>118</v>
      </c>
      <c r="CD23" s="168"/>
      <c r="CE23" s="168"/>
      <c r="CF23" s="168"/>
      <c r="CG23" s="168"/>
      <c r="CH23" s="168"/>
      <c r="CI23" s="168"/>
      <c r="CJ23" s="168"/>
      <c r="CK23" s="168"/>
      <c r="CL23" s="168"/>
      <c r="CM23" s="169"/>
    </row>
    <row r="24" spans="2:91" ht="61.5" customHeight="1">
      <c r="B24" s="21" t="s">
        <v>79</v>
      </c>
      <c r="C24" s="28" t="s">
        <v>85</v>
      </c>
      <c r="D24" s="93" t="s">
        <v>145</v>
      </c>
      <c r="E24" s="157" t="s">
        <v>198</v>
      </c>
      <c r="F24" s="158"/>
      <c r="G24" s="158"/>
      <c r="H24" s="158"/>
      <c r="I24" s="158"/>
      <c r="J24" s="158"/>
      <c r="K24" s="158"/>
      <c r="L24" s="158"/>
      <c r="M24" s="158"/>
      <c r="N24" s="159"/>
      <c r="O24" s="161" t="s">
        <v>220</v>
      </c>
      <c r="P24" s="162"/>
      <c r="Q24" s="162"/>
      <c r="R24" s="162"/>
      <c r="S24" s="162"/>
      <c r="T24" s="162"/>
      <c r="U24" s="162"/>
      <c r="V24" s="162"/>
      <c r="W24" s="162"/>
      <c r="X24" s="162"/>
      <c r="Y24" s="163"/>
      <c r="Z24" s="233" t="s">
        <v>237</v>
      </c>
      <c r="AA24" s="234"/>
      <c r="AB24" s="234"/>
      <c r="AC24" s="234"/>
      <c r="AD24" s="234"/>
      <c r="AE24" s="234"/>
      <c r="AF24" s="234"/>
      <c r="AG24" s="234"/>
      <c r="AH24" s="234"/>
      <c r="AI24" s="234"/>
      <c r="AJ24" s="235"/>
      <c r="AK24" s="157" t="s">
        <v>136</v>
      </c>
      <c r="AL24" s="176"/>
      <c r="AM24" s="158"/>
      <c r="AN24" s="158"/>
      <c r="AO24" s="158"/>
      <c r="AP24" s="158"/>
      <c r="AQ24" s="158"/>
      <c r="AR24" s="158"/>
      <c r="AS24" s="158"/>
      <c r="AT24" s="158"/>
      <c r="AU24" s="159"/>
      <c r="AV24" s="72" t="s">
        <v>140</v>
      </c>
      <c r="AW24" s="73"/>
      <c r="AX24" s="73"/>
      <c r="AY24" s="73"/>
      <c r="AZ24" s="73"/>
      <c r="BA24" s="73"/>
      <c r="BB24" s="73"/>
      <c r="BC24" s="73"/>
      <c r="BD24" s="73"/>
      <c r="BE24" s="73"/>
      <c r="BF24" s="74"/>
      <c r="BG24" s="178" t="s">
        <v>133</v>
      </c>
      <c r="BH24" s="179"/>
      <c r="BI24" s="174"/>
      <c r="BJ24" s="174"/>
      <c r="BK24" s="174"/>
      <c r="BL24" s="174"/>
      <c r="BM24" s="174"/>
      <c r="BN24" s="174"/>
      <c r="BO24" s="174"/>
      <c r="BP24" s="174"/>
      <c r="BQ24" s="175"/>
      <c r="BR24" s="170" t="s">
        <v>136</v>
      </c>
      <c r="BS24" s="171"/>
      <c r="BT24" s="168"/>
      <c r="BU24" s="168"/>
      <c r="BV24" s="168"/>
      <c r="BW24" s="168"/>
      <c r="BX24" s="168"/>
      <c r="BY24" s="168"/>
      <c r="BZ24" s="168"/>
      <c r="CA24" s="168"/>
      <c r="CB24" s="169"/>
      <c r="CC24" s="170" t="s">
        <v>133</v>
      </c>
      <c r="CD24" s="171"/>
      <c r="CE24" s="168"/>
      <c r="CF24" s="168"/>
      <c r="CG24" s="168"/>
      <c r="CH24" s="168"/>
      <c r="CI24" s="168"/>
      <c r="CJ24" s="168"/>
      <c r="CK24" s="168"/>
      <c r="CL24" s="168"/>
      <c r="CM24" s="169"/>
    </row>
    <row r="25" spans="2:91" ht="54" customHeight="1">
      <c r="B25" s="21" t="s">
        <v>54</v>
      </c>
      <c r="C25" s="29" t="s">
        <v>47</v>
      </c>
      <c r="D25" s="90" t="s">
        <v>145</v>
      </c>
      <c r="E25" s="160" t="s">
        <v>199</v>
      </c>
      <c r="F25" s="158"/>
      <c r="G25" s="158"/>
      <c r="H25" s="158"/>
      <c r="I25" s="158"/>
      <c r="J25" s="158"/>
      <c r="K25" s="158"/>
      <c r="L25" s="158"/>
      <c r="M25" s="158"/>
      <c r="N25" s="159"/>
      <c r="O25" s="161" t="s">
        <v>221</v>
      </c>
      <c r="P25" s="162"/>
      <c r="Q25" s="162"/>
      <c r="R25" s="162"/>
      <c r="S25" s="162"/>
      <c r="T25" s="162"/>
      <c r="U25" s="162"/>
      <c r="V25" s="162"/>
      <c r="W25" s="162"/>
      <c r="X25" s="162"/>
      <c r="Y25" s="163"/>
      <c r="Z25" s="167" t="s">
        <v>261</v>
      </c>
      <c r="AA25" s="168"/>
      <c r="AB25" s="168"/>
      <c r="AC25" s="168"/>
      <c r="AD25" s="168"/>
      <c r="AE25" s="168"/>
      <c r="AF25" s="168"/>
      <c r="AG25" s="168"/>
      <c r="AH25" s="168"/>
      <c r="AI25" s="168"/>
      <c r="AJ25" s="169"/>
      <c r="AK25" s="157" t="s">
        <v>159</v>
      </c>
      <c r="AL25" s="176"/>
      <c r="AM25" s="176"/>
      <c r="AN25" s="176"/>
      <c r="AO25" s="176"/>
      <c r="AP25" s="176"/>
      <c r="AQ25" s="176"/>
      <c r="AR25" s="176"/>
      <c r="AS25" s="176"/>
      <c r="AT25" s="176"/>
      <c r="AU25" s="177"/>
      <c r="AV25" s="72" t="s">
        <v>140</v>
      </c>
      <c r="AW25" s="73"/>
      <c r="AX25" s="73"/>
      <c r="AY25" s="73"/>
      <c r="AZ25" s="73"/>
      <c r="BA25" s="73"/>
      <c r="BB25" s="73"/>
      <c r="BC25" s="73"/>
      <c r="BD25" s="73"/>
      <c r="BE25" s="73"/>
      <c r="BF25" s="74"/>
      <c r="BG25" s="178" t="s">
        <v>119</v>
      </c>
      <c r="BH25" s="179"/>
      <c r="BI25" s="179"/>
      <c r="BJ25" s="179"/>
      <c r="BK25" s="179"/>
      <c r="BL25" s="179"/>
      <c r="BM25" s="179"/>
      <c r="BN25" s="179"/>
      <c r="BO25" s="179"/>
      <c r="BP25" s="179"/>
      <c r="BQ25" s="180"/>
      <c r="BR25" s="170" t="s">
        <v>137</v>
      </c>
      <c r="BS25" s="171"/>
      <c r="BT25" s="171"/>
      <c r="BU25" s="171"/>
      <c r="BV25" s="171"/>
      <c r="BW25" s="171"/>
      <c r="BX25" s="171"/>
      <c r="BY25" s="171"/>
      <c r="BZ25" s="171"/>
      <c r="CA25" s="171"/>
      <c r="CB25" s="172"/>
      <c r="CC25" s="161" t="s">
        <v>119</v>
      </c>
      <c r="CD25" s="162"/>
      <c r="CE25" s="162"/>
      <c r="CF25" s="162"/>
      <c r="CG25" s="162"/>
      <c r="CH25" s="162"/>
      <c r="CI25" s="162"/>
      <c r="CJ25" s="162"/>
      <c r="CK25" s="162"/>
      <c r="CL25" s="162"/>
      <c r="CM25" s="163"/>
    </row>
    <row r="26" spans="2:91" ht="40.5" customHeight="1">
      <c r="B26" s="22" t="s">
        <v>55</v>
      </c>
      <c r="C26" s="29" t="s">
        <v>56</v>
      </c>
      <c r="D26" s="90" t="s">
        <v>145</v>
      </c>
      <c r="E26" s="160" t="s">
        <v>200</v>
      </c>
      <c r="F26" s="158"/>
      <c r="G26" s="158"/>
      <c r="H26" s="158"/>
      <c r="I26" s="158"/>
      <c r="J26" s="158"/>
      <c r="K26" s="158"/>
      <c r="L26" s="158"/>
      <c r="M26" s="158"/>
      <c r="N26" s="159"/>
      <c r="O26" s="161" t="s">
        <v>221</v>
      </c>
      <c r="P26" s="162"/>
      <c r="Q26" s="162"/>
      <c r="R26" s="162"/>
      <c r="S26" s="162"/>
      <c r="T26" s="162"/>
      <c r="U26" s="162"/>
      <c r="V26" s="162"/>
      <c r="W26" s="162"/>
      <c r="X26" s="162"/>
      <c r="Y26" s="163"/>
      <c r="Z26" s="167" t="s">
        <v>261</v>
      </c>
      <c r="AA26" s="168"/>
      <c r="AB26" s="168"/>
      <c r="AC26" s="168"/>
      <c r="AD26" s="168"/>
      <c r="AE26" s="168"/>
      <c r="AF26" s="168"/>
      <c r="AG26" s="168"/>
      <c r="AH26" s="168"/>
      <c r="AI26" s="168"/>
      <c r="AJ26" s="169"/>
      <c r="AK26" s="157" t="s">
        <v>160</v>
      </c>
      <c r="AL26" s="176"/>
      <c r="AM26" s="176"/>
      <c r="AN26" s="176"/>
      <c r="AO26" s="176"/>
      <c r="AP26" s="176"/>
      <c r="AQ26" s="176"/>
      <c r="AR26" s="176"/>
      <c r="AS26" s="176"/>
      <c r="AT26" s="176"/>
      <c r="AU26" s="177"/>
      <c r="AV26" s="72" t="s">
        <v>140</v>
      </c>
      <c r="AW26" s="73"/>
      <c r="AX26" s="73"/>
      <c r="AY26" s="73"/>
      <c r="AZ26" s="73"/>
      <c r="BA26" s="73"/>
      <c r="BB26" s="73"/>
      <c r="BC26" s="73"/>
      <c r="BD26" s="73"/>
      <c r="BE26" s="73"/>
      <c r="BF26" s="74"/>
      <c r="BG26" s="173" t="s">
        <v>119</v>
      </c>
      <c r="BH26" s="174"/>
      <c r="BI26" s="174"/>
      <c r="BJ26" s="174"/>
      <c r="BK26" s="174"/>
      <c r="BL26" s="174"/>
      <c r="BM26" s="174"/>
      <c r="BN26" s="174"/>
      <c r="BO26" s="174"/>
      <c r="BP26" s="174"/>
      <c r="BQ26" s="175"/>
      <c r="BR26" s="167" t="s">
        <v>114</v>
      </c>
      <c r="BS26" s="168"/>
      <c r="BT26" s="168"/>
      <c r="BU26" s="168"/>
      <c r="BV26" s="168"/>
      <c r="BW26" s="168"/>
      <c r="BX26" s="168"/>
      <c r="BY26" s="168"/>
      <c r="BZ26" s="168"/>
      <c r="CA26" s="168"/>
      <c r="CB26" s="169"/>
      <c r="CC26" s="161" t="s">
        <v>119</v>
      </c>
      <c r="CD26" s="162"/>
      <c r="CE26" s="162"/>
      <c r="CF26" s="162"/>
      <c r="CG26" s="162"/>
      <c r="CH26" s="162"/>
      <c r="CI26" s="162"/>
      <c r="CJ26" s="162"/>
      <c r="CK26" s="162"/>
      <c r="CL26" s="162"/>
      <c r="CM26" s="163"/>
    </row>
    <row r="27" spans="2:91" ht="27">
      <c r="B27" s="23" t="s">
        <v>42</v>
      </c>
      <c r="C27" s="27" t="s">
        <v>48</v>
      </c>
      <c r="D27" s="90" t="s">
        <v>144</v>
      </c>
      <c r="E27" s="160" t="s">
        <v>201</v>
      </c>
      <c r="F27" s="158"/>
      <c r="G27" s="158"/>
      <c r="H27" s="158"/>
      <c r="I27" s="158"/>
      <c r="J27" s="158"/>
      <c r="K27" s="158"/>
      <c r="L27" s="158"/>
      <c r="M27" s="158"/>
      <c r="N27" s="159"/>
      <c r="O27" s="161" t="s">
        <v>222</v>
      </c>
      <c r="P27" s="162"/>
      <c r="Q27" s="162"/>
      <c r="R27" s="162"/>
      <c r="S27" s="162"/>
      <c r="T27" s="162"/>
      <c r="U27" s="162"/>
      <c r="V27" s="162"/>
      <c r="W27" s="162"/>
      <c r="X27" s="162"/>
      <c r="Y27" s="163"/>
      <c r="Z27" s="167" t="s">
        <v>262</v>
      </c>
      <c r="AA27" s="168"/>
      <c r="AB27" s="168"/>
      <c r="AC27" s="168"/>
      <c r="AD27" s="168"/>
      <c r="AE27" s="168"/>
      <c r="AF27" s="168"/>
      <c r="AG27" s="168"/>
      <c r="AH27" s="168"/>
      <c r="AI27" s="168"/>
      <c r="AJ27" s="169"/>
      <c r="AK27" s="157" t="s">
        <v>161</v>
      </c>
      <c r="AL27" s="176"/>
      <c r="AM27" s="176"/>
      <c r="AN27" s="176"/>
      <c r="AO27" s="176"/>
      <c r="AP27" s="176"/>
      <c r="AQ27" s="176"/>
      <c r="AR27" s="176"/>
      <c r="AS27" s="176"/>
      <c r="AT27" s="176"/>
      <c r="AU27" s="177"/>
      <c r="AV27" s="157" t="s">
        <v>142</v>
      </c>
      <c r="AW27" s="176"/>
      <c r="AX27" s="176"/>
      <c r="AY27" s="176"/>
      <c r="AZ27" s="176"/>
      <c r="BA27" s="176"/>
      <c r="BB27" s="176"/>
      <c r="BC27" s="176"/>
      <c r="BD27" s="176"/>
      <c r="BE27" s="176"/>
      <c r="BF27" s="177"/>
      <c r="BG27" s="173" t="s">
        <v>171</v>
      </c>
      <c r="BH27" s="174"/>
      <c r="BI27" s="174"/>
      <c r="BJ27" s="174"/>
      <c r="BK27" s="174"/>
      <c r="BL27" s="174"/>
      <c r="BM27" s="174"/>
      <c r="BN27" s="174"/>
      <c r="BO27" s="174"/>
      <c r="BP27" s="174"/>
      <c r="BQ27" s="175"/>
      <c r="BR27" s="167" t="s">
        <v>120</v>
      </c>
      <c r="BS27" s="168"/>
      <c r="BT27" s="168"/>
      <c r="BU27" s="168"/>
      <c r="BV27" s="168"/>
      <c r="BW27" s="168"/>
      <c r="BX27" s="168"/>
      <c r="BY27" s="168"/>
      <c r="BZ27" s="168"/>
      <c r="CA27" s="168"/>
      <c r="CB27" s="169"/>
      <c r="CC27" s="161" t="s">
        <v>120</v>
      </c>
      <c r="CD27" s="162"/>
      <c r="CE27" s="162"/>
      <c r="CF27" s="162"/>
      <c r="CG27" s="162"/>
      <c r="CH27" s="162"/>
      <c r="CI27" s="162"/>
      <c r="CJ27" s="162"/>
      <c r="CK27" s="162"/>
      <c r="CL27" s="162"/>
      <c r="CM27" s="163"/>
    </row>
    <row r="28" spans="2:91">
      <c r="B28" s="26"/>
    </row>
  </sheetData>
  <mergeCells count="166">
    <mergeCell ref="O27:Y27"/>
    <mergeCell ref="O26:Y26"/>
    <mergeCell ref="O25:Y25"/>
    <mergeCell ref="O24:Y24"/>
    <mergeCell ref="O23:Y23"/>
    <mergeCell ref="BG15:BQ15"/>
    <mergeCell ref="BR15:CB15"/>
    <mergeCell ref="CC16:CM16"/>
    <mergeCell ref="CC17:CM17"/>
    <mergeCell ref="BR12:CB12"/>
    <mergeCell ref="CC14:CM14"/>
    <mergeCell ref="Z27:AJ27"/>
    <mergeCell ref="Z26:AJ26"/>
    <mergeCell ref="Z15:AJ15"/>
    <mergeCell ref="Z16:AJ16"/>
    <mergeCell ref="AK15:AU15"/>
    <mergeCell ref="Z18:AJ18"/>
    <mergeCell ref="AK27:AU27"/>
    <mergeCell ref="AK21:AU21"/>
    <mergeCell ref="AK25:AU25"/>
    <mergeCell ref="AK26:AU26"/>
    <mergeCell ref="Z22:AJ22"/>
    <mergeCell ref="Z23:AJ23"/>
    <mergeCell ref="Z24:AJ24"/>
    <mergeCell ref="Z25:AJ25"/>
    <mergeCell ref="AK22:AU22"/>
    <mergeCell ref="AK23:AU23"/>
    <mergeCell ref="AK24:AU24"/>
    <mergeCell ref="F6:N6"/>
    <mergeCell ref="E7:N7"/>
    <mergeCell ref="E8:N8"/>
    <mergeCell ref="E9:N9"/>
    <mergeCell ref="E10:N10"/>
    <mergeCell ref="E11:N11"/>
    <mergeCell ref="AV18:BF18"/>
    <mergeCell ref="Z19:AJ19"/>
    <mergeCell ref="Z20:AJ20"/>
    <mergeCell ref="AK18:AU18"/>
    <mergeCell ref="AK19:AU19"/>
    <mergeCell ref="Q6:Y6"/>
    <mergeCell ref="O11:Y11"/>
    <mergeCell ref="O10:Y10"/>
    <mergeCell ref="O9:Y9"/>
    <mergeCell ref="Z9:AJ9"/>
    <mergeCell ref="Z10:AJ10"/>
    <mergeCell ref="Z11:AJ11"/>
    <mergeCell ref="Z12:AJ12"/>
    <mergeCell ref="Z13:AJ13"/>
    <mergeCell ref="Z14:AJ14"/>
    <mergeCell ref="Z17:AJ17"/>
    <mergeCell ref="E14:N14"/>
    <mergeCell ref="O14:Y14"/>
    <mergeCell ref="BR21:CB21"/>
    <mergeCell ref="BR18:CB18"/>
    <mergeCell ref="BR19:CB19"/>
    <mergeCell ref="BR17:CB17"/>
    <mergeCell ref="AV14:BF14"/>
    <mergeCell ref="CC18:CM18"/>
    <mergeCell ref="CC19:CM19"/>
    <mergeCell ref="CC20:CM20"/>
    <mergeCell ref="AV27:BF27"/>
    <mergeCell ref="CC26:CM26"/>
    <mergeCell ref="CC27:CM27"/>
    <mergeCell ref="CC21:CM21"/>
    <mergeCell ref="BG27:BQ27"/>
    <mergeCell ref="BR27:CB27"/>
    <mergeCell ref="CC22:CM22"/>
    <mergeCell ref="CC23:CM23"/>
    <mergeCell ref="CC24:CM24"/>
    <mergeCell ref="CC25:CM25"/>
    <mergeCell ref="BG18:BQ18"/>
    <mergeCell ref="BG19:BQ19"/>
    <mergeCell ref="BG20:BQ20"/>
    <mergeCell ref="BG21:BQ21"/>
    <mergeCell ref="CC15:CM15"/>
    <mergeCell ref="BG14:BQ14"/>
    <mergeCell ref="B16:B17"/>
    <mergeCell ref="C16:C17"/>
    <mergeCell ref="BR16:CB16"/>
    <mergeCell ref="CC12:CM12"/>
    <mergeCell ref="AV16:BF17"/>
    <mergeCell ref="E13:N13"/>
    <mergeCell ref="BG13:BQ13"/>
    <mergeCell ref="BR13:CB13"/>
    <mergeCell ref="CC13:CM13"/>
    <mergeCell ref="O12:Y12"/>
    <mergeCell ref="O13:Y13"/>
    <mergeCell ref="O17:Y17"/>
    <mergeCell ref="O16:Y16"/>
    <mergeCell ref="E12:N12"/>
    <mergeCell ref="E16:N16"/>
    <mergeCell ref="E17:N17"/>
    <mergeCell ref="BG12:BQ12"/>
    <mergeCell ref="BG16:BQ16"/>
    <mergeCell ref="BG17:BQ17"/>
    <mergeCell ref="D14:D17"/>
    <mergeCell ref="AK14:AU14"/>
    <mergeCell ref="BR14:CB14"/>
    <mergeCell ref="E15:N15"/>
    <mergeCell ref="AV15:BF15"/>
    <mergeCell ref="E27:N27"/>
    <mergeCell ref="CC11:CM11"/>
    <mergeCell ref="AX6:BF6"/>
    <mergeCell ref="AV7:BF7"/>
    <mergeCell ref="AV8:BF8"/>
    <mergeCell ref="AV9:BF9"/>
    <mergeCell ref="CC8:CM8"/>
    <mergeCell ref="CE6:CM6"/>
    <mergeCell ref="CC7:CM7"/>
    <mergeCell ref="CC9:CM9"/>
    <mergeCell ref="CC10:CM10"/>
    <mergeCell ref="BR10:CB10"/>
    <mergeCell ref="BR11:CB11"/>
    <mergeCell ref="BR8:CB8"/>
    <mergeCell ref="BR9:CB9"/>
    <mergeCell ref="BT6:CB6"/>
    <mergeCell ref="BR7:CB7"/>
    <mergeCell ref="BI6:BQ6"/>
    <mergeCell ref="BG7:BQ7"/>
    <mergeCell ref="BG8:BQ8"/>
    <mergeCell ref="BG9:BQ9"/>
    <mergeCell ref="BG10:BQ10"/>
    <mergeCell ref="BG11:BQ11"/>
    <mergeCell ref="O7:Y7"/>
    <mergeCell ref="O22:Y22"/>
    <mergeCell ref="AM6:AU6"/>
    <mergeCell ref="AK7:AU7"/>
    <mergeCell ref="AK8:AU8"/>
    <mergeCell ref="AK9:AU9"/>
    <mergeCell ref="AK10:AU10"/>
    <mergeCell ref="AK11:AU11"/>
    <mergeCell ref="AK12:AU12"/>
    <mergeCell ref="AK16:AU16"/>
    <mergeCell ref="AK17:AU17"/>
    <mergeCell ref="AK13:AU13"/>
    <mergeCell ref="AB6:AJ6"/>
    <mergeCell ref="Z7:AJ7"/>
    <mergeCell ref="Z8:AJ8"/>
    <mergeCell ref="AK20:AU20"/>
    <mergeCell ref="Z21:AJ21"/>
    <mergeCell ref="O15:Y15"/>
    <mergeCell ref="O8:Y8"/>
    <mergeCell ref="E24:N24"/>
    <mergeCell ref="E25:N25"/>
    <mergeCell ref="E26:N26"/>
    <mergeCell ref="O21:Y21"/>
    <mergeCell ref="O20:Y20"/>
    <mergeCell ref="O19:Y19"/>
    <mergeCell ref="O18:Y18"/>
    <mergeCell ref="E21:N21"/>
    <mergeCell ref="BR22:CB22"/>
    <mergeCell ref="BR23:CB23"/>
    <mergeCell ref="BR20:CB20"/>
    <mergeCell ref="BG22:BQ22"/>
    <mergeCell ref="E18:N18"/>
    <mergeCell ref="E19:N19"/>
    <mergeCell ref="E20:N20"/>
    <mergeCell ref="BG23:BQ23"/>
    <mergeCell ref="BG24:BQ24"/>
    <mergeCell ref="BG25:BQ25"/>
    <mergeCell ref="BG26:BQ26"/>
    <mergeCell ref="BR26:CB26"/>
    <mergeCell ref="BR24:CB24"/>
    <mergeCell ref="BR25:CB25"/>
    <mergeCell ref="E22:N22"/>
    <mergeCell ref="E23:N23"/>
  </mergeCells>
  <phoneticPr fontId="1"/>
  <conditionalFormatting sqref="E9">
    <cfRule type="containsText" dxfId="27" priority="38" operator="containsText" text="チェック結果または判断理由">
      <formula>NOT(ISERROR(SEARCH("チェック結果または判断理由",E9)))</formula>
    </cfRule>
  </conditionalFormatting>
  <conditionalFormatting sqref="E9:E10">
    <cfRule type="notContainsText" dxfId="26" priority="36" operator="notContains" text="判断理由（任意）">
      <formula>ISERROR(SEARCH("判断理由（任意）",E9))</formula>
    </cfRule>
  </conditionalFormatting>
  <conditionalFormatting sqref="E10:E12">
    <cfRule type="containsText" dxfId="25" priority="32" operator="containsText" text="チェック結果または判断理由">
      <formula>NOT(ISERROR(SEARCH("チェック結果または判断理由",E10)))</formula>
    </cfRule>
  </conditionalFormatting>
  <conditionalFormatting sqref="E11:E13">
    <cfRule type="notContainsText" dxfId="24" priority="30" operator="notContains" text="判断理由（任意）">
      <formula>ISERROR(SEARCH("判断理由（任意）",E11))</formula>
    </cfRule>
  </conditionalFormatting>
  <conditionalFormatting sqref="E13 E16">
    <cfRule type="notContainsText" dxfId="23" priority="26" operator="notContains" text="判断理由（任意）">
      <formula>ISERROR(SEARCH("判断理由（任意）",E13))</formula>
    </cfRule>
    <cfRule type="containsText" dxfId="22" priority="27" operator="containsText" text="チェック結果または判断理由">
      <formula>NOT(ISERROR(SEARCH("チェック結果または判断理由",E13)))</formula>
    </cfRule>
  </conditionalFormatting>
  <conditionalFormatting sqref="E18:E27">
    <cfRule type="containsText" dxfId="21" priority="20" operator="containsText" text="チェック結果または判断理由">
      <formula>NOT(ISERROR(SEARCH("チェック結果または判断理由",E18)))</formula>
    </cfRule>
    <cfRule type="notContainsText" dxfId="20" priority="21" operator="notContains" text="判断理由（任意）">
      <formula>ISERROR(SEARCH("判断理由（任意）",E18))</formula>
    </cfRule>
  </conditionalFormatting>
  <conditionalFormatting sqref="Z9:AA13">
    <cfRule type="containsText" dxfId="19" priority="1" operator="containsText" text="チェック結果または判断理由">
      <formula>NOT(ISERROR(SEARCH("チェック結果または判断理由",Z9)))</formula>
    </cfRule>
    <cfRule type="notContainsText" dxfId="18" priority="2" operator="notContains" text="判断理由（任意）">
      <formula>ISERROR(SEARCH("判断理由（任意）",Z9))</formula>
    </cfRule>
  </conditionalFormatting>
  <conditionalFormatting sqref="Z18:AA24">
    <cfRule type="containsText" dxfId="17" priority="3" operator="containsText" text="チェック結果または判断理由">
      <formula>NOT(ISERROR(SEARCH("チェック結果または判断理由",Z18)))</formula>
    </cfRule>
    <cfRule type="notContainsText" dxfId="16" priority="4" operator="notContains" text="判断理由（任意）">
      <formula>ISERROR(SEARCH("判断理由（任意）",Z18))</formula>
    </cfRule>
  </conditionalFormatting>
  <conditionalFormatting sqref="AK9:AL13 AK16:AL16">
    <cfRule type="containsText" dxfId="15" priority="41" operator="containsText" text="チェック結果または判断理由">
      <formula>NOT(ISERROR(SEARCH("チェック結果または判断理由",AK9)))</formula>
    </cfRule>
    <cfRule type="notContainsText" dxfId="14" priority="42" operator="notContains" text="判断理由（任意）">
      <formula>ISERROR(SEARCH("判断理由（任意）",AK9))</formula>
    </cfRule>
  </conditionalFormatting>
  <conditionalFormatting sqref="AK18:AL27">
    <cfRule type="containsText" dxfId="13" priority="65" operator="containsText" text="チェック結果または判断理由">
      <formula>NOT(ISERROR(SEARCH("チェック結果または判断理由",AK18)))</formula>
    </cfRule>
    <cfRule type="notContainsText" dxfId="12" priority="66" operator="notContains" text="判断理由（任意）">
      <formula>ISERROR(SEARCH("判断理由（任意）",AK18))</formula>
    </cfRule>
  </conditionalFormatting>
  <conditionalFormatting sqref="AV9:AW13 AV16:AW16">
    <cfRule type="containsText" dxfId="11" priority="74" operator="containsText" text="チェック結果または判断理由">
      <formula>NOT(ISERROR(SEARCH("チェック結果または判断理由",AV9)))</formula>
    </cfRule>
    <cfRule type="notContainsText" dxfId="10" priority="75" operator="notContains" text="判断理由（任意）">
      <formula>ISERROR(SEARCH("判断理由（任意）",AV9))</formula>
    </cfRule>
  </conditionalFormatting>
  <conditionalFormatting sqref="AV18:AW27">
    <cfRule type="containsText" dxfId="9" priority="76" operator="containsText" text="チェック結果または判断理由">
      <formula>NOT(ISERROR(SEARCH("チェック結果または判断理由",AV18)))</formula>
    </cfRule>
    <cfRule type="notContainsText" dxfId="8" priority="77" operator="notContains" text="判断理由（任意）">
      <formula>ISERROR(SEARCH("判断理由（任意）",AV18))</formula>
    </cfRule>
  </conditionalFormatting>
  <conditionalFormatting sqref="BG13:BH13">
    <cfRule type="containsText" dxfId="7" priority="39" operator="containsText" text="チェック結果または判断理由">
      <formula>NOT(ISERROR(SEARCH("チェック結果または判断理由",BG13)))</formula>
    </cfRule>
    <cfRule type="notContainsText" dxfId="6" priority="40" operator="notContains" text="判断理由（任意）">
      <formula>ISERROR(SEARCH("判断理由（任意）",BG13))</formula>
    </cfRule>
  </conditionalFormatting>
  <conditionalFormatting sqref="BR13:BS13">
    <cfRule type="containsText" dxfId="5" priority="18" operator="containsText" text="チェック結果または判断理由">
      <formula>NOT(ISERROR(SEARCH("チェック結果または判断理由",BR13)))</formula>
    </cfRule>
    <cfRule type="notContainsText" dxfId="4" priority="19" operator="notContains" text="判断理由（任意）">
      <formula>ISERROR(SEARCH("判断理由（任意）",BR13))</formula>
    </cfRule>
  </conditionalFormatting>
  <conditionalFormatting sqref="CC13:CD13">
    <cfRule type="containsText" dxfId="3" priority="16" operator="containsText" text="チェック結果または判断理由">
      <formula>NOT(ISERROR(SEARCH("チェック結果または判断理由",CC13)))</formula>
    </cfRule>
    <cfRule type="notContainsText" dxfId="2" priority="17" operator="notContains" text="判断理由（任意）">
      <formula>ISERROR(SEARCH("判断理由（任意）",CC13))</formula>
    </cfRule>
  </conditionalFormatting>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ワークシート" dvAspect="DVASPECT_ICON" shapeId="17409" r:id="rId4">
          <objectPr defaultSize="0" autoPict="0" r:id="rId5">
            <anchor moveWithCells="1">
              <from>
                <xdr:col>2</xdr:col>
                <xdr:colOff>1914525</xdr:colOff>
                <xdr:row>0</xdr:row>
                <xdr:rowOff>57150</xdr:rowOff>
              </from>
              <to>
                <xdr:col>2</xdr:col>
                <xdr:colOff>2676525</xdr:colOff>
                <xdr:row>1</xdr:row>
                <xdr:rowOff>409575</xdr:rowOff>
              </to>
            </anchor>
          </objectPr>
        </oleObject>
      </mc:Choice>
      <mc:Fallback>
        <oleObject progId="ワークシート" dvAspect="DVASPECT_ICON" shapeId="17409"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15"/>
  <sheetViews>
    <sheetView topLeftCell="A7" zoomScaleNormal="100" workbookViewId="0">
      <selection activeCell="D15" sqref="D15"/>
    </sheetView>
  </sheetViews>
  <sheetFormatPr defaultRowHeight="14.25"/>
  <cols>
    <col min="1" max="1" width="3.125" style="10" customWidth="1"/>
    <col min="2" max="2" width="11.625" style="10" bestFit="1" customWidth="1"/>
    <col min="3" max="3" width="9" style="10"/>
    <col min="4" max="4" width="50.625" style="10" customWidth="1"/>
    <col min="5" max="5" width="13.375" style="10" bestFit="1" customWidth="1"/>
    <col min="6" max="16384" width="9" style="10"/>
  </cols>
  <sheetData>
    <row r="2" spans="2:5">
      <c r="B2" s="9" t="s">
        <v>57</v>
      </c>
      <c r="C2" s="9" t="s">
        <v>58</v>
      </c>
      <c r="D2" s="9" t="s">
        <v>59</v>
      </c>
      <c r="E2" s="9" t="s">
        <v>60</v>
      </c>
    </row>
    <row r="3" spans="2:5">
      <c r="B3" s="57"/>
      <c r="C3" s="9" t="s">
        <v>65</v>
      </c>
      <c r="D3" s="11" t="s">
        <v>61</v>
      </c>
      <c r="E3" s="12"/>
    </row>
    <row r="4" spans="2:5">
      <c r="B4" s="57">
        <v>43818</v>
      </c>
      <c r="C4" s="9" t="s">
        <v>66</v>
      </c>
      <c r="D4" s="13" t="s">
        <v>63</v>
      </c>
      <c r="E4" s="9" t="s">
        <v>62</v>
      </c>
    </row>
    <row r="5" spans="2:5">
      <c r="B5" s="57">
        <v>44097</v>
      </c>
      <c r="C5" s="9" t="s">
        <v>68</v>
      </c>
      <c r="D5" s="13" t="s">
        <v>69</v>
      </c>
      <c r="E5" s="9" t="s">
        <v>70</v>
      </c>
    </row>
    <row r="6" spans="2:5">
      <c r="B6" s="57">
        <v>44162</v>
      </c>
      <c r="C6" s="9" t="s">
        <v>76</v>
      </c>
      <c r="D6" s="12" t="s">
        <v>77</v>
      </c>
      <c r="E6" s="9" t="s">
        <v>78</v>
      </c>
    </row>
    <row r="7" spans="2:5" ht="42.75">
      <c r="B7" s="57">
        <v>44763</v>
      </c>
      <c r="C7" s="9" t="s">
        <v>97</v>
      </c>
      <c r="D7" s="11" t="s">
        <v>99</v>
      </c>
      <c r="E7" s="9" t="s">
        <v>98</v>
      </c>
    </row>
    <row r="8" spans="2:5" ht="57">
      <c r="B8" s="57">
        <v>44818</v>
      </c>
      <c r="C8" s="9" t="s">
        <v>101</v>
      </c>
      <c r="D8" s="11" t="s">
        <v>103</v>
      </c>
      <c r="E8" s="9" t="s">
        <v>102</v>
      </c>
    </row>
    <row r="9" spans="2:5" ht="57">
      <c r="B9" s="57">
        <v>44880</v>
      </c>
      <c r="C9" s="9" t="s">
        <v>106</v>
      </c>
      <c r="D9" s="11" t="s">
        <v>108</v>
      </c>
      <c r="E9" s="68" t="s">
        <v>107</v>
      </c>
    </row>
    <row r="10" spans="2:5" ht="85.5">
      <c r="B10" s="57">
        <v>45107</v>
      </c>
      <c r="C10" s="9" t="s">
        <v>172</v>
      </c>
      <c r="D10" s="11" t="s">
        <v>173</v>
      </c>
      <c r="E10" s="68" t="s">
        <v>107</v>
      </c>
    </row>
    <row r="11" spans="2:5" ht="71.25">
      <c r="B11" s="99">
        <v>45226</v>
      </c>
      <c r="C11" s="9" t="s">
        <v>191</v>
      </c>
      <c r="D11" s="11" t="s">
        <v>203</v>
      </c>
      <c r="E11" s="11" t="s">
        <v>202</v>
      </c>
    </row>
    <row r="12" spans="2:5" ht="57">
      <c r="B12" s="99">
        <v>45478</v>
      </c>
      <c r="C12" s="9" t="s">
        <v>224</v>
      </c>
      <c r="D12" s="11" t="s">
        <v>227</v>
      </c>
      <c r="E12" s="11" t="s">
        <v>226</v>
      </c>
    </row>
    <row r="13" spans="2:5" ht="57">
      <c r="B13" s="99">
        <v>45687</v>
      </c>
      <c r="C13" s="9" t="s">
        <v>274</v>
      </c>
      <c r="D13" s="11" t="s">
        <v>275</v>
      </c>
      <c r="E13" s="11" t="s">
        <v>276</v>
      </c>
    </row>
    <row r="14" spans="2:5">
      <c r="B14" s="99">
        <v>45769</v>
      </c>
      <c r="C14" s="9" t="s">
        <v>277</v>
      </c>
      <c r="D14" s="12" t="s">
        <v>278</v>
      </c>
      <c r="E14" s="12" t="s">
        <v>279</v>
      </c>
    </row>
    <row r="15" spans="2:5" ht="42.75">
      <c r="B15" s="99">
        <v>45806</v>
      </c>
      <c r="C15" s="9" t="s">
        <v>298</v>
      </c>
      <c r="D15" s="11" t="s">
        <v>299</v>
      </c>
      <c r="E15" s="12" t="s">
        <v>279</v>
      </c>
    </row>
  </sheetData>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53E5E-7C1A-491A-9790-DBDDDCD656B9}">
  <dimension ref="B2:D7"/>
  <sheetViews>
    <sheetView showGridLines="0" workbookViewId="0"/>
  </sheetViews>
  <sheetFormatPr defaultRowHeight="14.25"/>
  <cols>
    <col min="1" max="1" width="5.75" style="106" customWidth="1"/>
    <col min="2" max="2" width="22.25" style="106" customWidth="1"/>
    <col min="3" max="4" width="33.625" style="106" customWidth="1"/>
    <col min="5" max="16384" width="9" style="106"/>
  </cols>
  <sheetData>
    <row r="2" spans="2:4" ht="50.25" customHeight="1">
      <c r="B2" s="107"/>
      <c r="C2" s="108" t="s">
        <v>282</v>
      </c>
      <c r="D2" s="109" t="s">
        <v>281</v>
      </c>
    </row>
    <row r="3" spans="2:4" ht="16.5" customHeight="1">
      <c r="B3" s="110" t="s">
        <v>283</v>
      </c>
      <c r="C3" s="111" t="s">
        <v>286</v>
      </c>
      <c r="D3" s="111" t="s">
        <v>289</v>
      </c>
    </row>
    <row r="4" spans="2:4" ht="15.75" customHeight="1">
      <c r="B4" s="110" t="s">
        <v>284</v>
      </c>
      <c r="C4" s="111" t="s">
        <v>287</v>
      </c>
      <c r="D4" s="112" t="s">
        <v>288</v>
      </c>
    </row>
    <row r="5" spans="2:4" ht="15.75" customHeight="1">
      <c r="B5" s="110" t="s">
        <v>285</v>
      </c>
      <c r="C5" s="112" t="s">
        <v>288</v>
      </c>
      <c r="D5" s="112" t="s">
        <v>288</v>
      </c>
    </row>
    <row r="6" spans="2:4" ht="8.25" customHeight="1"/>
    <row r="7" spans="2:4" ht="15.75" customHeight="1">
      <c r="C7" s="106" t="s">
        <v>290</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97e814-4a56-407e-a1c5-ab7eeb0d7a0d">
      <Terms xmlns="http://schemas.microsoft.com/office/infopath/2007/PartnerControls"/>
    </lcf76f155ced4ddcb4097134ff3c332f>
    <TaxCatchAll xmlns="d9dc673b-9e34-4001-b69a-8484e8c1b81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3DCC311E45FCF44AF5A5E57823A1662" ma:contentTypeVersion="" ma:contentTypeDescription="新しいドキュメントを作成します。" ma:contentTypeScope="" ma:versionID="3fe324278bbe18b264bd677deb246b61">
  <xsd:schema xmlns:xsd="http://www.w3.org/2001/XMLSchema" xmlns:xs="http://www.w3.org/2001/XMLSchema" xmlns:p="http://schemas.microsoft.com/office/2006/metadata/properties" xmlns:ns2="accd9d64-8e96-4625-a6c3-a9c1e4150fcc" xmlns:ns3="db97e814-4a56-407e-a1c5-ab7eeb0d7a0d" xmlns:ns4="d9dc673b-9e34-4001-b69a-8484e8c1b815" targetNamespace="http://schemas.microsoft.com/office/2006/metadata/properties" ma:root="true" ma:fieldsID="c720791ecadc60ab158870987b1dcd94" ns2:_="" ns3:_="" ns4:_="">
    <xsd:import namespace="accd9d64-8e96-4625-a6c3-a9c1e4150fcc"/>
    <xsd:import namespace="db97e814-4a56-407e-a1c5-ab7eeb0d7a0d"/>
    <xsd:import namespace="d9dc673b-9e34-4001-b69a-8484e8c1b81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4:TaxCatchAll" minOccurs="0"/>
                <xsd:element ref="ns3:MediaServiceDateTake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cd9d64-8e96-4625-a6c3-a9c1e4150fcc"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97e814-4a56-407e-a1c5-ab7eeb0d7a0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401df557-eeb5-435c-8d7c-77a7fa12a987"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9dc673b-9e34-4001-b69a-8484e8c1b815"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6C86667B-1FE9-44D9-9B70-3286BACEF871}" ma:internalName="TaxCatchAll" ma:showField="CatchAllData" ma:web="{accd9d64-8e96-4625-a6c3-a9c1e4150f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5F3A46-A419-4E64-9C8A-54C2DC25B6F4}">
  <ds:schemaRefs>
    <ds:schemaRef ds:uri="http://www.w3.org/XML/1998/namespace"/>
    <ds:schemaRef ds:uri="http://purl.org/dc/elements/1.1/"/>
    <ds:schemaRef ds:uri="http://purl.org/dc/dcmitype/"/>
    <ds:schemaRef ds:uri="db97e814-4a56-407e-a1c5-ab7eeb0d7a0d"/>
    <ds:schemaRef ds:uri="accd9d64-8e96-4625-a6c3-a9c1e4150fcc"/>
    <ds:schemaRef ds:uri="http://schemas.microsoft.com/office/2006/documentManagement/types"/>
    <ds:schemaRef ds:uri="http://schemas.microsoft.com/office/2006/metadata/properties"/>
    <ds:schemaRef ds:uri="d9dc673b-9e34-4001-b69a-8484e8c1b815"/>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923BC4A5-F2F3-4E5A-AE3E-A85068A053F9}">
  <ds:schemaRefs>
    <ds:schemaRef ds:uri="http://schemas.microsoft.com/sharepoint/v3/contenttype/forms"/>
  </ds:schemaRefs>
</ds:datastoreItem>
</file>

<file path=customXml/itemProps3.xml><?xml version="1.0" encoding="utf-8"?>
<ds:datastoreItem xmlns:ds="http://schemas.openxmlformats.org/officeDocument/2006/customXml" ds:itemID="{8E33EDB2-24BF-4D41-8B51-806EC40F11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cd9d64-8e96-4625-a6c3-a9c1e4150fcc"/>
    <ds:schemaRef ds:uri="db97e814-4a56-407e-a1c5-ab7eeb0d7a0d"/>
    <ds:schemaRef ds:uri="d9dc673b-9e34-4001-b69a-8484e8c1b8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参照元チェックリスト</vt:lpstr>
      <vt:lpstr>参照元チェックリストの説明</vt:lpstr>
      <vt:lpstr>記入例</vt:lpstr>
      <vt:lpstr>変更履歴</vt:lpstr>
      <vt:lpstr>挿入図</vt:lpstr>
      <vt:lpstr>参照元チェックリストの説明!Print_Area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2025-10-09T09:30:09Z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0x01010043DCC311E45FCF44AF5A5E57823A1662</vt:lpwstr>
  </property>
  <property fmtid="{D5CDD505-2E9C-101B-9397-08002B2CF9AE}" pid="3" name="MediaServiceImageTags">
    <vt:lpwstr/>
  </property>
</Properties>
</file>