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1562754\きど\TO DO\【仕様開発】\11eminj-acw-16-a-t\"/>
    </mc:Choice>
  </mc:AlternateContent>
  <xr:revisionPtr revIDLastSave="0" documentId="13_ncr:1_{FA9967B8-A496-4B8E-86FB-62809DC4FD9A}" xr6:coauthVersionLast="47" xr6:coauthVersionMax="47" xr10:uidLastSave="{00000000-0000-0000-0000-000000000000}"/>
  <bookViews>
    <workbookView xWindow="-120" yWindow="-120" windowWidth="29040" windowHeight="15840" activeTab="1" xr2:uid="{ABD5B03B-B36E-487B-A3E6-3A56B96FE981}"/>
  </bookViews>
  <sheets>
    <sheet name="Ver情報" sheetId="7" r:id="rId1"/>
    <sheet name="定数一覧" sheetId="1" r:id="rId2"/>
    <sheet name="定数値" sheetId="2" r:id="rId3"/>
    <sheet name="CRETA関係式入力支援" sheetId="6" r:id="rId4"/>
    <sheet name="リスト" sheetId="4" r:id="rId5"/>
  </sheets>
  <definedNames>
    <definedName name="_xlnm._FilterDatabase" localSheetId="1" hidden="1">定数一覧!$A$20:$AF$20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7" i="1" l="1" a="1"/>
  <c r="L17" i="1" s="1"/>
  <c r="D20" i="6" l="1"/>
  <c r="A48" i="6"/>
  <c r="F4" i="4" a="1"/>
  <c r="F4" i="4" s="1"/>
  <c r="D17" i="1" s="1" a="1"/>
  <c r="D17" i="1" s="1"/>
  <c r="F40" i="6"/>
  <c r="F39" i="6"/>
  <c r="F38" i="6"/>
  <c r="F37" i="6"/>
  <c r="S49" i="6" l="1"/>
  <c r="A50" i="6"/>
  <c r="T48" i="6"/>
  <c r="S48" i="6"/>
  <c r="Q48" i="6"/>
  <c r="Q49" i="6"/>
  <c r="T49" i="6"/>
  <c r="B49" i="6"/>
  <c r="C49" i="6"/>
  <c r="B48" i="6"/>
  <c r="F49" i="6"/>
  <c r="C48" i="6"/>
  <c r="G49" i="6"/>
  <c r="F48" i="6"/>
  <c r="G48"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Miyazaki, Takashi/宮崎 崇</author>
    <author>EPF5 宮崎</author>
  </authors>
  <commentList>
    <comment ref="C15" authorId="0" shapeId="0" xr:uid="{2CA448FF-DB77-43A0-ABA4-5FDCB1E7D641}">
      <text>
        <r>
          <rPr>
            <b/>
            <sz val="9"/>
            <color indexed="81"/>
            <rFont val="MS P ゴシック"/>
            <family val="3"/>
            <charset val="128"/>
          </rPr>
          <t>2025/8/19
　微ﾚﾍﾞﾙｱｯﾌﾟ (処理、内容の変化なし)
　 ・項番未記入 or リスト外登録時に警告出すように。</t>
        </r>
      </text>
    </comment>
    <comment ref="C22" authorId="1" shapeId="0" xr:uid="{73FF74BE-0D4B-453A-9B6F-F589684C8131}">
      <text>
        <r>
          <rPr>
            <sz val="9"/>
            <color indexed="81"/>
            <rFont val="MS P ゴシック"/>
            <family val="3"/>
            <charset val="128"/>
          </rPr>
          <t xml:space="preserve">自動ソート時、 最終行の一番右の記入位置までがソート対象の列になっていて、
それより上の行の右側に書かれたデータがソートされない状態になっていた。
タイトル行の右端までをソート範囲にするように修正しました。
</t>
        </r>
      </text>
    </comment>
    <comment ref="C23" authorId="1" shapeId="0" xr:uid="{560E6555-15EF-4E44-8FFE-BBB4DCCB9011}">
      <text>
        <r>
          <rPr>
            <sz val="9"/>
            <color indexed="81"/>
            <rFont val="MS P ゴシック"/>
            <family val="3"/>
            <charset val="128"/>
          </rPr>
          <t>「※ 値・CSW変更時は、役割＋今回の設変理由 を記入ください」
と記入していたのを削除
　∵「今回の設変理由」は機能欄の内容と変わらない為
（定数値変更など、新規定数ではなくて、前と役割が変わらない時は「―」と記入）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EPF5 宮崎</author>
    <author>Miyazaki, Takashi/宮崎 崇</author>
  </authors>
  <commentList>
    <comment ref="D2" authorId="0" shapeId="0" xr:uid="{AE8CFB98-C5F4-4803-9864-F781B02E95F4}">
      <text>
        <r>
          <rPr>
            <sz val="11"/>
            <color indexed="81"/>
            <rFont val="MS P ゴシック"/>
            <family val="3"/>
            <charset val="128"/>
          </rPr>
          <t xml:space="preserve">「engsrc」より後のパスを
フォルダNoを含めて記入
例）
</t>
        </r>
        <r>
          <rPr>
            <b/>
            <sz val="11"/>
            <color indexed="81"/>
            <rFont val="MS P ゴシック"/>
            <family val="3"/>
            <charset val="128"/>
          </rPr>
          <t xml:space="preserve">　○：40efunc/F1efunctran
</t>
        </r>
        <r>
          <rPr>
            <sz val="11"/>
            <color indexed="81"/>
            <rFont val="MS P ゴシック"/>
            <family val="3"/>
            <charset val="128"/>
          </rPr>
          <t>　×：engsrc/40efunc/F1efunctran　← 「engsrc」不要
　×：efunc/efunctran　　　　　　 ←　フォルダのNo不足</t>
        </r>
      </text>
    </comment>
    <comment ref="F6" authorId="0" shapeId="0" xr:uid="{56F3B4B0-79CA-4ACD-BC94-938E3D5CCE0D}">
      <text>
        <r>
          <rPr>
            <b/>
            <sz val="9"/>
            <color indexed="81"/>
            <rFont val="MS P ゴシック"/>
            <family val="3"/>
            <charset val="128"/>
          </rPr>
          <t xml:space="preserve">Ver1.06で修正
「無効化出来ない・しなくて問題ない定数」 は
　”定数名を空欄に” 
としてましたが、記載漏れとの判断が必要になる為
　”定数名に「－」記入”
に統一いたしました。
空欄でも後処理（DB生成）上は問題ありません。
</t>
        </r>
      </text>
    </comment>
    <comment ref="I6" authorId="0" shapeId="0" xr:uid="{7176C5B8-3537-4648-9201-DF169E7F8DBC}">
      <text>
        <r>
          <rPr>
            <b/>
            <sz val="11"/>
            <color indexed="81"/>
            <rFont val="MS P ゴシック"/>
            <family val="3"/>
            <charset val="128"/>
          </rPr>
          <t>制御マスタとDRして、有効/機能カットを決定してください。</t>
        </r>
        <r>
          <rPr>
            <sz val="11"/>
            <color indexed="81"/>
            <rFont val="MS P ゴシック"/>
            <family val="3"/>
            <charset val="128"/>
          </rPr>
          <t xml:space="preserve">
　機能カットは、特殊な個別な標準化などで他機種にとってはうれしさが出ない機能で設定
　他の判断によるｶｯﾄ推奨(と標準値設定)は、制御マスタとDRの上、理由を定数の役割や知見に残してください。
項番に紐づく定数値の設定について、
　『機能カット』の時は、その項番の機能カット定数の標準値はカット値をセット。
　　　　　　　　　　　　機能カット定数以外は、有効値を基本とし、超個別の定数などは機種の値やカット値。
　『有効』の時は、機能有効時に適した値(60点でも可)を関連定数全てにセット
　(ただし、『有効』として標準値同士の関係性は担保していても、 </t>
        </r>
        <r>
          <rPr>
            <b/>
            <sz val="11"/>
            <color indexed="81"/>
            <rFont val="MS P ゴシック"/>
            <family val="3"/>
            <charset val="128"/>
          </rPr>
          <t>従来機能の拡張などで</t>
        </r>
        <r>
          <rPr>
            <sz val="11"/>
            <color indexed="81"/>
            <rFont val="MS P ゴシック"/>
            <family val="3"/>
            <charset val="128"/>
          </rPr>
          <t xml:space="preserve">
　 ”</t>
        </r>
        <r>
          <rPr>
            <b/>
            <sz val="11"/>
            <color indexed="81"/>
            <rFont val="MS P ゴシック"/>
            <family val="3"/>
            <charset val="128"/>
          </rPr>
          <t>旧定数を紐づけて初期値に当てて評価を開始すべき定数”は「変更前or紐付き定数」に必ず情報を記載する事！
　</t>
        </r>
        <r>
          <rPr>
            <sz val="11"/>
            <color indexed="81"/>
            <rFont val="MS P ゴシック"/>
            <family val="3"/>
            <charset val="128"/>
          </rPr>
          <t>　(”「変更前or紐付き定数」に定数が書いてあることで定数初期値を判断出来る”ように後工程のﾌﾟﾛｾｽ作成予定のため))</t>
        </r>
        <r>
          <rPr>
            <b/>
            <sz val="9"/>
            <color indexed="81"/>
            <rFont val="MS P ゴシック"/>
            <family val="3"/>
            <charset val="128"/>
          </rPr>
          <t xml:space="preserve">
</t>
        </r>
      </text>
    </comment>
    <comment ref="D7" authorId="0" shapeId="0" xr:uid="{B96411D1-808B-4411-ABD3-EB5736FF3361}">
      <text>
        <r>
          <rPr>
            <b/>
            <sz val="10"/>
            <color indexed="81"/>
            <rFont val="MS P ゴシック"/>
            <family val="3"/>
            <charset val="128"/>
          </rPr>
          <t>一つのロジ変の項番内で、</t>
        </r>
        <r>
          <rPr>
            <b/>
            <u/>
            <sz val="10"/>
            <color indexed="81"/>
            <rFont val="MS P ゴシック"/>
            <family val="3"/>
            <charset val="128"/>
          </rPr>
          <t>定数のセットとして見た時に複数に分かれる時</t>
        </r>
        <r>
          <rPr>
            <b/>
            <sz val="10"/>
            <color indexed="81"/>
            <rFont val="MS P ゴシック"/>
            <family val="3"/>
            <charset val="128"/>
          </rPr>
          <t>、
-1、-2などの子番を付けて定数管理エクセル上の項番を分けて下さい。
例）
(1)① で 何か機能を追加。その中で従来のAAA_MAPにCSWを付けた
　→ AAA_MAPは (1)①の機能と直接関連無く、機能カット定数なども違う。
⇒ (1)①-1 にメインの機能変更の内容。 
　 (1)①-2に 「従来定数のCSW変更」等の機能を書いて、
　　　　　　　機能カット機能カット定数は「－」（＝カット出来ない） とする。 等 
　　　　　　　※ 子番に分けた時にも機能カットの設定があるならその設定を記入して下さい。</t>
        </r>
      </text>
    </comment>
    <comment ref="E7" authorId="0" shapeId="0" xr:uid="{540E74C2-900D-491B-B05D-F18D93329D88}">
      <text>
        <r>
          <rPr>
            <b/>
            <sz val="11"/>
            <color indexed="81"/>
            <rFont val="MS P ゴシック"/>
            <family val="3"/>
            <charset val="128"/>
          </rPr>
          <t>ここの「機能」の説明を見てREEが対象のソフトで有効にすべきか、機能カットにするか選択します。
「どういう機種に必須なのか/不要なのか」などが判るように、
ﾛｼﾞ変の項番タイトルに補足付足して記載をお願いします。</t>
        </r>
      </text>
    </comment>
    <comment ref="F7" authorId="0" shapeId="0" xr:uid="{8404A6E6-9F96-401B-90FD-A1D3F0B80DFA}">
      <text>
        <r>
          <rPr>
            <sz val="12"/>
            <color indexed="81"/>
            <rFont val="MS P ゴシック"/>
            <family val="3"/>
            <charset val="128"/>
          </rPr>
          <t xml:space="preserve">複数の部品で実現する機能で
</t>
        </r>
        <r>
          <rPr>
            <b/>
            <sz val="12"/>
            <color indexed="81"/>
            <rFont val="MS P ゴシック"/>
            <family val="3"/>
            <charset val="128"/>
          </rPr>
          <t>親部品で機能カットする時</t>
        </r>
        <r>
          <rPr>
            <sz val="12"/>
            <color indexed="81"/>
            <rFont val="MS P ゴシック"/>
            <family val="3"/>
            <charset val="128"/>
          </rPr>
          <t xml:space="preserve">は
</t>
        </r>
        <r>
          <rPr>
            <b/>
            <sz val="12"/>
            <color indexed="81"/>
            <rFont val="MS P ゴシック"/>
            <family val="3"/>
            <charset val="128"/>
          </rPr>
          <t xml:space="preserve">「親部品の定数名」＆「機能カット設定値」
</t>
        </r>
        <r>
          <rPr>
            <sz val="12"/>
            <color indexed="81"/>
            <rFont val="MS P ゴシック"/>
            <family val="3"/>
            <charset val="128"/>
          </rPr>
          <t>を記入
　※「機能」欄に親との繋がりが判るように記載下さい。</t>
        </r>
      </text>
    </comment>
    <comment ref="G7" authorId="0" shapeId="0" xr:uid="{456E59B6-F923-4F0E-8EDA-1C411CCCDD8D}">
      <text>
        <r>
          <rPr>
            <sz val="11"/>
            <color indexed="81"/>
            <rFont val="Meiryo UI"/>
            <family val="3"/>
            <charset val="128"/>
          </rPr>
          <t>・機能追加でMAP次元を拡張し、カット方法が同値補間の場合、
　 「拡張した</t>
        </r>
        <r>
          <rPr>
            <b/>
            <sz val="11"/>
            <color indexed="81"/>
            <rFont val="Meiryo UI"/>
            <family val="3"/>
            <charset val="128"/>
          </rPr>
          <t>(x/y/z/w)軸</t>
        </r>
        <r>
          <rPr>
            <sz val="11"/>
            <color indexed="81"/>
            <rFont val="Meiryo UI"/>
            <family val="3"/>
            <charset val="128"/>
          </rPr>
          <t>の</t>
        </r>
        <r>
          <rPr>
            <b/>
            <sz val="11"/>
            <color indexed="81"/>
            <rFont val="Meiryo UI"/>
            <family val="3"/>
            <charset val="128"/>
          </rPr>
          <t>方向</t>
        </r>
        <r>
          <rPr>
            <sz val="11"/>
            <color indexed="81"/>
            <rFont val="Meiryo UI"/>
            <family val="3"/>
            <charset val="128"/>
          </rPr>
          <t>に既存の</t>
        </r>
        <r>
          <rPr>
            <b/>
            <sz val="11"/>
            <color indexed="81"/>
            <rFont val="Meiryo UI"/>
            <family val="3"/>
            <charset val="128"/>
          </rPr>
          <t>同値</t>
        </r>
        <r>
          <rPr>
            <sz val="11"/>
            <color indexed="81"/>
            <rFont val="Meiryo UI"/>
            <family val="3"/>
            <charset val="128"/>
          </rPr>
          <t>を入れる(＝</t>
        </r>
        <r>
          <rPr>
            <b/>
            <sz val="11"/>
            <color indexed="81"/>
            <rFont val="Meiryo UI"/>
            <family val="3"/>
            <charset val="128"/>
          </rPr>
          <t>○軸方向同値</t>
        </r>
        <r>
          <rPr>
            <sz val="11"/>
            <color indexed="81"/>
            <rFont val="Meiryo UI"/>
            <family val="3"/>
            <charset val="128"/>
          </rPr>
          <t>)」
　を選択し、”値・別定数名”欄は空欄にして下さい。
（例： 定数　　　　→1次元MAP化：x軸方向同値 
　　　　　1次元MAP→3次元化(y,z軸追加)：”カット条件追加”で行を増やし、
　　　　　　　　　　　　　　同じ定数に対してy軸方向同値とz軸方向同値を2行に分けて指示 )</t>
        </r>
      </text>
    </comment>
    <comment ref="H7" authorId="0" shapeId="0" xr:uid="{A9C81EBF-AB96-414F-BEBE-9822A42C917C}">
      <text>
        <r>
          <rPr>
            <b/>
            <sz val="11"/>
            <color indexed="81"/>
            <rFont val="Meiryo UI"/>
            <family val="3"/>
            <charset val="128"/>
          </rPr>
          <t>・MAPの全値同値で機能カットする時は、
　「ALL0」、「ALL-40」のようにALL○○で記載
　（※複雑な設定には対応できません）
・別の定数と同値として機能カットする場合は
　定数名を型付で正しく記載</t>
        </r>
      </text>
    </comment>
    <comment ref="U15" authorId="0" shapeId="0" xr:uid="{0A1A5843-1657-4CDD-B1C4-19D49A2FF35F}">
      <text>
        <r>
          <rPr>
            <b/>
            <sz val="11"/>
            <color indexed="81"/>
            <rFont val="MS P ゴシック"/>
            <family val="3"/>
            <charset val="128"/>
          </rPr>
          <t>標準定数切り分けW/Gでの定数DR後に一括登録する場合は100%に
その前に定数Webに登録する時は、50%や75%選択。
75%：標準仕様書内のCSW切り分け有無も確認済。
50%：標準仕様書内のCSW切り分け確認も済。
　　　ただし、詳細仕分けまで未実施。</t>
        </r>
      </text>
    </comment>
    <comment ref="D17" authorId="1" shapeId="0" xr:uid="{72F3BF13-2612-49CD-B1BA-17BC08888AB3}">
      <text>
        <r>
          <rPr>
            <b/>
            <sz val="14"/>
            <color indexed="81"/>
            <rFont val="MS P ゴシック"/>
            <family val="3"/>
            <charset val="128"/>
          </rPr>
          <t>次の場合に「項番の入力が未完了」が表示されます。
　・今回変更の定数の項番が未記入(空白のまま）
　・記入した項番が上の「１．機能一覧表」</t>
        </r>
        <r>
          <rPr>
            <sz val="14"/>
            <color indexed="81"/>
            <rFont val="MS P ゴシック"/>
            <family val="3"/>
            <charset val="128"/>
          </rPr>
          <t>(正確には「リスト」シート）</t>
        </r>
        <r>
          <rPr>
            <b/>
            <sz val="14"/>
            <color indexed="81"/>
            <rFont val="MS P ゴシック"/>
            <family val="3"/>
            <charset val="128"/>
          </rPr>
          <t xml:space="preserve">に出現しない。
</t>
        </r>
        <r>
          <rPr>
            <sz val="14"/>
            <color indexed="81"/>
            <rFont val="MS P ゴシック"/>
            <family val="3"/>
            <charset val="128"/>
          </rPr>
          <t xml:space="preserve">　　 ※ 複数機能に跨る定数は、複数項番との紐づけ(例：「(1),(2)」）を「リスト」シートに手動追加
</t>
        </r>
        <r>
          <rPr>
            <b/>
            <sz val="14"/>
            <color indexed="81"/>
            <rFont val="MS P ゴシック"/>
            <family val="3"/>
            <charset val="128"/>
          </rPr>
          <t xml:space="preserve">
　⇒ 機能カット設定時、関連付けた項番の定数は”管理不要”の判断となります。
　　 正しい関連付けをお願いします。</t>
        </r>
      </text>
    </comment>
    <comment ref="A20" authorId="0" shapeId="0" xr:uid="{EB5F7543-BC82-4696-A367-DFE9A9F4A44A}">
      <text>
        <r>
          <rPr>
            <sz val="12"/>
            <color indexed="81"/>
            <rFont val="MS P ゴシック"/>
            <family val="3"/>
            <charset val="128"/>
          </rPr>
          <t>新DR：DR要実施新規・変更定数
新  ：DR不要新規(現在未使用)
既DR：DRに関わる既存定数
既  ：既存定数(参考)</t>
        </r>
      </text>
    </comment>
    <comment ref="C20" authorId="0" shapeId="0" xr:uid="{DE411067-93EB-4C99-AE62-35AE918FF081}">
      <text>
        <r>
          <rPr>
            <b/>
            <sz val="12"/>
            <color indexed="81"/>
            <rFont val="ＭＳ ゴシック"/>
            <family val="3"/>
            <charset val="128"/>
          </rPr>
          <t xml:space="preserve">   　新規 ： 開発Verで出現した定数
   　削除 ： 旧Verには存在したが開発Verで削除された定数
変更：CSW ： 旧Verからあった定数名だがCSWが変更されたもの
変更：定数： 定数名やCSWに変わりないが、定数値が変更されたもの
   　一致 ： 旧Ver定数と開発Ver定数がCSW設定、値ともに変更ないもの</t>
        </r>
      </text>
    </comment>
    <comment ref="E20" authorId="0" shapeId="0" xr:uid="{9AA8DDEA-DAF5-4AD7-A2F1-0756C429D5AE}">
      <text>
        <r>
          <rPr>
            <b/>
            <sz val="11"/>
            <color indexed="81"/>
            <rFont val="MS P ゴシック"/>
            <family val="3"/>
            <charset val="128"/>
          </rPr>
          <t>＜色付け＞
・青色字：機能カット定数
・緑色字：機能カットの設定値に使われる定数
・灰色字：上に同じ名前の定数有り
・橙塗潰し：型が記入されていません。型を手入力して下さい。
・灰塗潰し：前Verと一致の既存定数(「既」設定)
・菫塗潰し：今回変更に関わる既存定数(「既DR」設定)</t>
        </r>
      </text>
    </comment>
    <comment ref="K20" authorId="0" shapeId="0" xr:uid="{9581AC8F-DD4E-4D64-864D-A5E6E107179D}">
      <text>
        <r>
          <rPr>
            <b/>
            <sz val="11"/>
            <color indexed="81"/>
            <rFont val="MS P ゴシック"/>
            <family val="3"/>
            <charset val="128"/>
          </rPr>
          <t xml:space="preserve">定数mファイルのプログラム式のCSWを日本語化。
適合知見等ではこちらの内容を転記する為、
</t>
        </r>
        <r>
          <rPr>
            <b/>
            <u/>
            <sz val="11"/>
            <color indexed="81"/>
            <rFont val="MS P ゴシック"/>
            <family val="3"/>
            <charset val="128"/>
          </rPr>
          <t>変換が不自然な時や、冗長な時などは手修正</t>
        </r>
        <r>
          <rPr>
            <b/>
            <sz val="11"/>
            <color indexed="81"/>
            <rFont val="MS P ゴシック"/>
            <family val="3"/>
            <charset val="128"/>
          </rPr>
          <t>してください。</t>
        </r>
      </text>
    </comment>
    <comment ref="N20" authorId="0" shapeId="0" xr:uid="{630B627D-80C1-4889-9838-45B6E306EA66}">
      <text>
        <r>
          <rPr>
            <b/>
            <sz val="12"/>
            <color indexed="81"/>
            <rFont val="MS P ゴシック"/>
            <family val="3"/>
            <charset val="128"/>
          </rPr>
          <t>以下のような機能的な繋がりがある定数を記載</t>
        </r>
        <r>
          <rPr>
            <sz val="11"/>
            <color indexed="81"/>
            <rFont val="MS P ゴシック"/>
            <family val="3"/>
            <charset val="128"/>
          </rPr>
          <t xml:space="preserve">
</t>
        </r>
        <r>
          <rPr>
            <b/>
            <sz val="11"/>
            <color indexed="81"/>
            <rFont val="MS P ゴシック"/>
            <family val="3"/>
            <charset val="128"/>
          </rPr>
          <t>　・定数名リネーム(型変更無し) (※従来通り)
　・static、global変更 (※従来通り)
　・定数(削除)→MAP化時 (※従来通り)</t>
        </r>
        <r>
          <rPr>
            <sz val="11"/>
            <color indexed="81"/>
            <rFont val="MS P ゴシック"/>
            <family val="3"/>
            <charset val="128"/>
          </rPr>
          <t xml:space="preserve">
</t>
        </r>
        <r>
          <rPr>
            <b/>
            <sz val="11"/>
            <color indexed="81"/>
            <rFont val="MS P ゴシック"/>
            <family val="3"/>
            <charset val="128"/>
          </rPr>
          <t>　・CSW追加して定数分離時 (元の定数・MAP存在)
　・機能拡張時 (ALC軸追加,高地追加,低温追加等)</t>
        </r>
      </text>
    </comment>
    <comment ref="O20" authorId="0" shapeId="0" xr:uid="{CA8D03C3-3E9D-46DC-9DC1-9E4FF3D9CA32}">
      <text>
        <r>
          <rPr>
            <b/>
            <sz val="12"/>
            <color indexed="81"/>
            <rFont val="MS P ゴシック"/>
            <family val="3"/>
            <charset val="128"/>
          </rPr>
          <t>※式変換や軸追加等がある時に記入。 ただのﾘﾈｰﾑ時は空白でOK
&lt;変換式記入例&gt; (『』内が記載方法(元の次元が数字,補間がｱﾙﾌｧﾍﾞｯﾄ)</t>
        </r>
        <r>
          <rPr>
            <sz val="12"/>
            <color indexed="81"/>
            <rFont val="MS P ゴシック"/>
            <family val="3"/>
            <charset val="128"/>
          </rPr>
          <t xml:space="preserve">
軸入替(x,y,</t>
        </r>
        <r>
          <rPr>
            <b/>
            <sz val="12"/>
            <color indexed="81"/>
            <rFont val="MS P ゴシック"/>
            <family val="3"/>
            <charset val="128"/>
          </rPr>
          <t>z</t>
        </r>
        <r>
          <rPr>
            <sz val="12"/>
            <color indexed="81"/>
            <rFont val="MS P ゴシック"/>
            <family val="3"/>
            <charset val="128"/>
          </rPr>
          <t>→x,</t>
        </r>
        <r>
          <rPr>
            <b/>
            <sz val="12"/>
            <color indexed="81"/>
            <rFont val="MS P ゴシック"/>
            <family val="3"/>
            <charset val="128"/>
          </rPr>
          <t>z</t>
        </r>
        <r>
          <rPr>
            <sz val="12"/>
            <color indexed="81"/>
            <rFont val="MS P ゴシック"/>
            <family val="3"/>
            <charset val="128"/>
          </rPr>
          <t>,y)⇒ 『(1,</t>
        </r>
        <r>
          <rPr>
            <b/>
            <sz val="12"/>
            <color indexed="81"/>
            <rFont val="MS P ゴシック"/>
            <family val="3"/>
            <charset val="128"/>
          </rPr>
          <t>3</t>
        </r>
        <r>
          <rPr>
            <sz val="12"/>
            <color indexed="81"/>
            <rFont val="MS P ゴシック"/>
            <family val="3"/>
            <charset val="128"/>
          </rPr>
          <t>,2)』
3次元→4次元(</t>
        </r>
        <r>
          <rPr>
            <b/>
            <sz val="12"/>
            <color indexed="81"/>
            <rFont val="MS P ゴシック"/>
            <family val="3"/>
            <charset val="128"/>
          </rPr>
          <t>w</t>
        </r>
        <r>
          <rPr>
            <sz val="12"/>
            <color indexed="81"/>
            <rFont val="MS P ゴシック"/>
            <family val="3"/>
            <charset val="128"/>
          </rPr>
          <t>軸追加)⇒ 『(1,2,3,</t>
        </r>
        <r>
          <rPr>
            <b/>
            <sz val="12"/>
            <color indexed="81"/>
            <rFont val="MS P ゴシック"/>
            <family val="3"/>
            <charset val="128"/>
          </rPr>
          <t>w</t>
        </r>
        <r>
          <rPr>
            <sz val="12"/>
            <color indexed="81"/>
            <rFont val="MS P ゴシック"/>
            <family val="3"/>
            <charset val="128"/>
          </rPr>
          <t>)』
3次元→4次元(</t>
        </r>
        <r>
          <rPr>
            <b/>
            <sz val="12"/>
            <color indexed="81"/>
            <rFont val="MS P ゴシック"/>
            <family val="3"/>
            <charset val="128"/>
          </rPr>
          <t>y</t>
        </r>
        <r>
          <rPr>
            <sz val="12"/>
            <color indexed="81"/>
            <rFont val="MS P ゴシック"/>
            <family val="3"/>
            <charset val="128"/>
          </rPr>
          <t>軸が追加)⇒ 『(1,</t>
        </r>
        <r>
          <rPr>
            <b/>
            <sz val="12"/>
            <color indexed="81"/>
            <rFont val="MS P ゴシック"/>
            <family val="3"/>
            <charset val="128"/>
          </rPr>
          <t>y</t>
        </r>
        <r>
          <rPr>
            <sz val="12"/>
            <color indexed="81"/>
            <rFont val="MS P ゴシック"/>
            <family val="3"/>
            <charset val="128"/>
          </rPr>
          <t>,2,3)』
定数→</t>
        </r>
        <r>
          <rPr>
            <b/>
            <sz val="12"/>
            <color indexed="81"/>
            <rFont val="MS P ゴシック"/>
            <family val="3"/>
            <charset val="128"/>
          </rPr>
          <t>MAP化</t>
        </r>
        <r>
          <rPr>
            <sz val="12"/>
            <color indexed="81"/>
            <rFont val="MS P ゴシック"/>
            <family val="3"/>
            <charset val="128"/>
          </rPr>
          <t>⇒ 『(</t>
        </r>
        <r>
          <rPr>
            <b/>
            <sz val="12"/>
            <color indexed="81"/>
            <rFont val="MS P ゴシック"/>
            <family val="3"/>
            <charset val="128"/>
          </rPr>
          <t>x</t>
        </r>
        <r>
          <rPr>
            <sz val="12"/>
            <color indexed="81"/>
            <rFont val="MS P ゴシック"/>
            <family val="3"/>
            <charset val="128"/>
          </rPr>
          <t>)』  (＝</t>
        </r>
        <r>
          <rPr>
            <b/>
            <sz val="12"/>
            <color indexed="81"/>
            <rFont val="MS P ゴシック"/>
            <family val="3"/>
            <charset val="128"/>
          </rPr>
          <t>x</t>
        </r>
        <r>
          <rPr>
            <sz val="12"/>
            <color indexed="81"/>
            <rFont val="MS P ゴシック"/>
            <family val="3"/>
            <charset val="128"/>
          </rPr>
          <t>軸方向補間の指示)
式変換⇒ 『</t>
        </r>
        <r>
          <rPr>
            <b/>
            <sz val="12"/>
            <color indexed="81"/>
            <rFont val="MS P ゴシック"/>
            <family val="3"/>
            <charset val="128"/>
          </rPr>
          <t>1/f4s_eklsm_GARCALT</t>
        </r>
        <r>
          <rPr>
            <sz val="12"/>
            <color indexed="81"/>
            <rFont val="MS P ゴシック"/>
            <family val="3"/>
            <charset val="128"/>
          </rPr>
          <t>』
　※ 四則演算子と数字と定数名(</t>
        </r>
        <r>
          <rPr>
            <b/>
            <sz val="12"/>
            <color indexed="81"/>
            <rFont val="MS P ゴシック"/>
            <family val="3"/>
            <charset val="128"/>
          </rPr>
          <t>型込み</t>
        </r>
        <r>
          <rPr>
            <sz val="12"/>
            <color indexed="81"/>
            <rFont val="MS P ゴシック"/>
            <family val="3"/>
            <charset val="128"/>
          </rPr>
          <t>)で記載</t>
        </r>
        <r>
          <rPr>
            <b/>
            <sz val="12"/>
            <color indexed="81"/>
            <rFont val="MS P ゴシック"/>
            <family val="3"/>
            <charset val="128"/>
          </rPr>
          <t xml:space="preserve">
</t>
        </r>
      </text>
    </comment>
    <comment ref="P20" authorId="0" shapeId="0" xr:uid="{B5AE9D19-C01D-44DE-81BA-A7699EDF0B68}">
      <text>
        <r>
          <rPr>
            <b/>
            <sz val="12"/>
            <color indexed="81"/>
            <rFont val="MS P ゴシック"/>
            <family val="3"/>
            <charset val="128"/>
          </rPr>
          <t>適合部署がなぜチェックに引っかかったか判るように記載</t>
        </r>
        <r>
          <rPr>
            <b/>
            <sz val="9"/>
            <color indexed="81"/>
            <rFont val="MS P ゴシック"/>
            <family val="3"/>
            <charset val="128"/>
          </rPr>
          <t xml:space="preserve">
</t>
        </r>
        <r>
          <rPr>
            <sz val="9"/>
            <color indexed="81"/>
            <rFont val="MS P ゴシック"/>
            <family val="3"/>
            <charset val="128"/>
          </rPr>
          <t xml:space="preserve">　・可能ならば【必須】【推奨】など重要度を先頭に提示
　・何のためにどういう値になっている事が良いのか
</t>
        </r>
        <r>
          <rPr>
            <sz val="10"/>
            <color indexed="81"/>
            <rFont val="MS P ゴシック"/>
            <family val="3"/>
            <charset val="128"/>
          </rPr>
          <t xml:space="preserve">※「関係式」が空白で「チェック理由」のみ記載の場合、
　 チェッカーに「Caution」を立てて、
　 </t>
        </r>
        <r>
          <rPr>
            <u/>
            <sz val="10"/>
            <color indexed="81"/>
            <rFont val="MS P ゴシック"/>
            <family val="3"/>
            <charset val="128"/>
          </rPr>
          <t>該当定数が存在するだけでCautionとしてチェックされるようにします</t>
        </r>
        <r>
          <rPr>
            <sz val="10"/>
            <color indexed="81"/>
            <rFont val="MS P ゴシック"/>
            <family val="3"/>
            <charset val="128"/>
          </rPr>
          <t>。</t>
        </r>
      </text>
    </comment>
    <comment ref="Q20" authorId="0" shapeId="0" xr:uid="{F4B355D4-DA86-4898-B74D-521B499D6C2E}">
      <text>
        <r>
          <rPr>
            <b/>
            <sz val="12"/>
            <color indexed="81"/>
            <rFont val="MS P ゴシック"/>
            <family val="3"/>
            <charset val="128"/>
          </rPr>
          <t>『転記支援エクセル』に出力する為の情報。</t>
        </r>
        <r>
          <rPr>
            <b/>
            <sz val="11"/>
            <color indexed="81"/>
            <rFont val="MS P ゴシック"/>
            <family val="3"/>
            <charset val="128"/>
          </rPr>
          <t xml:space="preserve">
</t>
        </r>
        <r>
          <rPr>
            <sz val="11"/>
            <color indexed="81"/>
            <rFont val="MS P ゴシック"/>
            <family val="3"/>
            <charset val="128"/>
          </rPr>
          <t>表の本列上外にある</t>
        </r>
        <r>
          <rPr>
            <b/>
            <sz val="11"/>
            <color indexed="81"/>
            <rFont val="MS P ゴシック"/>
            <family val="3"/>
            <charset val="128"/>
          </rPr>
          <t>「関係式作成」ボタン</t>
        </r>
        <r>
          <rPr>
            <sz val="11"/>
            <color indexed="81"/>
            <rFont val="MS P ゴシック"/>
            <family val="3"/>
            <charset val="128"/>
          </rPr>
          <t>を押して、別シートで関係式を作って下さい。
※この列(：関係式)が空白で、理由だけに記載がある時、チェッカリストの「Caution」＝○とします。
　この場合、定数値の判断なく、ソフトに定数が存在すると常に注意情報として抽出されます。
＜参考＞ このセルのフォーマットとしては以下の通りです。
『「識別記号(OUTPUT無し」,「CSW」,「下限値」,「上限値」,「その他式」。』
(複数の式を設定したい時用に、先頭は識別の記号を表記し、最後の「。」で区切っています。)
例：
式1,JEEGMG_E == u1g_EJCC_HVPLGR_E,L-40,U160,x = f4g_eaaa_ETHWST。</t>
        </r>
      </text>
    </comment>
    <comment ref="S20" authorId="0" shapeId="0" xr:uid="{B439C684-DED3-4F89-82CE-48929C98F7EA}">
      <text>
        <r>
          <rPr>
            <b/>
            <sz val="11"/>
            <color indexed="81"/>
            <rFont val="MS P ゴシック"/>
            <family val="3"/>
            <charset val="128"/>
          </rPr>
          <t xml:space="preserve">定数Webの一括登録シートには以下のように出力します。
&lt;CSW&gt;
</t>
        </r>
        <r>
          <rPr>
            <sz val="11"/>
            <color indexed="81"/>
            <rFont val="MS P ゴシック"/>
            <family val="3"/>
            <charset val="128"/>
          </rPr>
          <t xml:space="preserve">部品CSW </t>
        </r>
        <r>
          <rPr>
            <b/>
            <sz val="11"/>
            <color indexed="81"/>
            <rFont val="MS P ゴシック"/>
            <family val="3"/>
            <charset val="128"/>
          </rPr>
          <t>AND</t>
        </r>
        <r>
          <rPr>
            <sz val="11"/>
            <color indexed="81"/>
            <rFont val="MS P ゴシック"/>
            <family val="3"/>
            <charset val="128"/>
          </rPr>
          <t xml:space="preserve"> 定数CSW</t>
        </r>
        <r>
          <rPr>
            <b/>
            <sz val="11"/>
            <color indexed="81"/>
            <rFont val="MS P ゴシック"/>
            <family val="3"/>
            <charset val="128"/>
          </rPr>
          <t xml:space="preserve">
＜本定数が適合必要となる他定数設定＞
&lt;&lt;</t>
        </r>
        <r>
          <rPr>
            <sz val="11"/>
            <color indexed="81"/>
            <rFont val="MS P ゴシック"/>
            <family val="3"/>
            <charset val="128"/>
          </rPr>
          <t>「機能カット定数の設定内容の”逆”」</t>
        </r>
        <r>
          <rPr>
            <b/>
            <sz val="11"/>
            <color indexed="81"/>
            <rFont val="MS P ゴシック"/>
            <family val="3"/>
            <charset val="128"/>
          </rPr>
          <t xml:space="preserve">&gt;&gt;
＜制御仕様上の役割＞
</t>
        </r>
        <r>
          <rPr>
            <sz val="11"/>
            <color indexed="81"/>
            <rFont val="MS P ゴシック"/>
            <family val="3"/>
            <charset val="128"/>
          </rPr>
          <t xml:space="preserve">「定数の役割」 の記入内容
</t>
        </r>
        <r>
          <rPr>
            <b/>
            <sz val="11"/>
            <color indexed="81"/>
            <rFont val="MS P ゴシック"/>
            <family val="3"/>
            <charset val="128"/>
          </rPr>
          <t xml:space="preserve">＜標準定数＞
</t>
        </r>
        <r>
          <rPr>
            <sz val="11"/>
            <color indexed="81"/>
            <rFont val="MS P ゴシック"/>
            <family val="3"/>
            <charset val="128"/>
          </rPr>
          <t xml:space="preserve">「標準値」の値 
(※定数の時のみ。 tableやmapは「table・mapの為、仕様確認下さい」の文)
</t>
        </r>
        <r>
          <rPr>
            <b/>
            <sz val="11"/>
            <color indexed="81"/>
            <rFont val="MS P ゴシック"/>
            <family val="3"/>
            <charset val="128"/>
          </rPr>
          <t xml:space="preserve">＜適合知見＞
</t>
        </r>
        <r>
          <rPr>
            <sz val="11"/>
            <color indexed="81"/>
            <rFont val="MS P ゴシック"/>
            <family val="3"/>
            <charset val="128"/>
          </rPr>
          <t>「適合知見(知見＋適合方法＋初期値(ある時))」 の記入内容</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<sst xmlns="http://schemas.openxmlformats.org/spreadsheetml/2006/main" count="827" uniqueCount="479">
  <si>
    <t>有効</t>
  </si>
  <si>
    <t>CRETAチェッカーの定数注意情報(必要時記入)</t>
    <rPh sb="11" eb="13">
      <t>ジョウスウ</t>
    </rPh>
    <rPh sb="13" eb="15">
      <t>チュウイ</t>
    </rPh>
    <rPh sb="15" eb="17">
      <t>ジョウホウ</t>
    </rPh>
    <rPh sb="18" eb="20">
      <t>ヒツヨウ</t>
    </rPh>
    <rPh sb="20" eb="21">
      <t>ジ</t>
    </rPh>
    <rPh sb="21" eb="23">
      <t>キニュウ</t>
    </rPh>
    <phoneticPr fontId="3"/>
  </si>
  <si>
    <t>適合知見</t>
    <rPh sb="0" eb="2">
      <t>テキゴウ</t>
    </rPh>
    <rPh sb="2" eb="4">
      <t>チケン</t>
    </rPh>
    <phoneticPr fontId="3"/>
  </si>
  <si>
    <t>標準定数の見直し登録 (仕様発行後の臨時修正用。 ネタ帳に記載して定数を修正する事)</t>
    <rPh sb="0" eb="2">
      <t>ヒョウジュン</t>
    </rPh>
    <rPh sb="2" eb="4">
      <t>ジョウスウ</t>
    </rPh>
    <rPh sb="5" eb="7">
      <t>ミナオ</t>
    </rPh>
    <rPh sb="8" eb="10">
      <t>トウロク</t>
    </rPh>
    <rPh sb="12" eb="14">
      <t>シヨウ</t>
    </rPh>
    <rPh sb="14" eb="16">
      <t>ハッコウ</t>
    </rPh>
    <rPh sb="16" eb="17">
      <t>ゴ</t>
    </rPh>
    <rPh sb="18" eb="20">
      <t>リンジ</t>
    </rPh>
    <rPh sb="20" eb="23">
      <t>シュウセイヨウ</t>
    </rPh>
    <rPh sb="27" eb="28">
      <t>チョウ</t>
    </rPh>
    <rPh sb="29" eb="31">
      <t>キサイ</t>
    </rPh>
    <rPh sb="33" eb="35">
      <t>ジョウスウ</t>
    </rPh>
    <rPh sb="36" eb="38">
      <t>シュウセイ</t>
    </rPh>
    <rPh sb="40" eb="41">
      <t>コト</t>
    </rPh>
    <phoneticPr fontId="3"/>
  </si>
  <si>
    <t>変更内容</t>
    <rPh sb="0" eb="2">
      <t>ヘンコウ</t>
    </rPh>
    <rPh sb="2" eb="4">
      <t>ナイヨウ</t>
    </rPh>
    <phoneticPr fontId="3"/>
  </si>
  <si>
    <t>関係式(Cautionのみ時は空白)</t>
    <rPh sb="0" eb="2">
      <t>カンケイ</t>
    </rPh>
    <rPh sb="2" eb="3">
      <t>シキ</t>
    </rPh>
    <rPh sb="13" eb="14">
      <t>ジ</t>
    </rPh>
    <rPh sb="15" eb="17">
      <t>クウハク</t>
    </rPh>
    <phoneticPr fontId="3"/>
  </si>
  <si>
    <t>適合ｽﾃｰﾀｽ</t>
    <rPh sb="0" eb="2">
      <t>テキゴウ</t>
    </rPh>
    <phoneticPr fontId="3"/>
  </si>
  <si>
    <t>燃料区分</t>
    <rPh sb="0" eb="2">
      <t>ネンリョウ</t>
    </rPh>
    <rPh sb="2" eb="4">
      <t>クブン</t>
    </rPh>
    <phoneticPr fontId="3"/>
  </si>
  <si>
    <t>適合Owner</t>
    <rPh sb="0" eb="2">
      <t>テキゴウ</t>
    </rPh>
    <phoneticPr fontId="3"/>
  </si>
  <si>
    <t>行番号</t>
    <rPh sb="0" eb="1">
      <t>ギョウ</t>
    </rPh>
    <rPh sb="1" eb="3">
      <t>バンゴウ</t>
    </rPh>
    <phoneticPr fontId="3"/>
  </si>
  <si>
    <t>ﾀｲﾌﾟ1 CSW</t>
    <phoneticPr fontId="3"/>
  </si>
  <si>
    <t>ﾀｲﾌﾟ1 値</t>
    <rPh sb="6" eb="7">
      <t>アタイ</t>
    </rPh>
    <phoneticPr fontId="3"/>
  </si>
  <si>
    <t>ﾀｲﾌﾟ2 CSW</t>
  </si>
  <si>
    <t>ﾀｲﾌﾟ2 値</t>
    <rPh sb="6" eb="7">
      <t>アタイ</t>
    </rPh>
    <phoneticPr fontId="3"/>
  </si>
  <si>
    <t>ﾀｲﾌﾟ3 CSW</t>
  </si>
  <si>
    <t>ﾀｲﾌﾟ3 値</t>
    <rPh sb="6" eb="7">
      <t>アタイ</t>
    </rPh>
    <phoneticPr fontId="3"/>
  </si>
  <si>
    <t>ﾀｲﾌﾟ4 CSW</t>
  </si>
  <si>
    <t>ﾀｲﾌﾟ4 値</t>
    <rPh sb="6" eb="7">
      <t>アタイ</t>
    </rPh>
    <phoneticPr fontId="3"/>
  </si>
  <si>
    <t>ﾀｲﾌﾟ5 CSW</t>
  </si>
  <si>
    <t>ﾀｲﾌﾟ5 値</t>
    <rPh sb="6" eb="7">
      <t>アタイ</t>
    </rPh>
    <phoneticPr fontId="3"/>
  </si>
  <si>
    <t>ReadOnly</t>
  </si>
  <si>
    <t>LowerLimit</t>
  </si>
  <si>
    <t>UpperLimit</t>
  </si>
  <si>
    <t>各列のリスト設定(枠付き部分をリスト化中＝枠内であれば候補追加可)</t>
    <rPh sb="0" eb="1">
      <t>カク</t>
    </rPh>
    <rPh sb="1" eb="2">
      <t>レツ</t>
    </rPh>
    <rPh sb="6" eb="8">
      <t>セッテイ</t>
    </rPh>
    <rPh sb="9" eb="10">
      <t>ワク</t>
    </rPh>
    <rPh sb="10" eb="11">
      <t>ツ</t>
    </rPh>
    <rPh sb="12" eb="14">
      <t>ブブン</t>
    </rPh>
    <rPh sb="18" eb="19">
      <t>カ</t>
    </rPh>
    <rPh sb="19" eb="20">
      <t>チュウ</t>
    </rPh>
    <rPh sb="21" eb="23">
      <t>ワクナイ</t>
    </rPh>
    <rPh sb="27" eb="29">
      <t>コウホ</t>
    </rPh>
    <rPh sb="29" eb="31">
      <t>ツイカ</t>
    </rPh>
    <rPh sb="31" eb="32">
      <t>カ</t>
    </rPh>
    <phoneticPr fontId="3"/>
  </si>
  <si>
    <t>ﾀｲﾌﾟ* CSW</t>
    <phoneticPr fontId="3"/>
  </si>
  <si>
    <t>Standard constant</t>
  </si>
  <si>
    <t>GAS</t>
  </si>
  <si>
    <t>GPF</t>
  </si>
  <si>
    <t>ALL</t>
  </si>
  <si>
    <t>Standard constant(Depend on CompileSW)</t>
  </si>
  <si>
    <t>H2</t>
  </si>
  <si>
    <t>ISC&amp;エンスト</t>
  </si>
  <si>
    <t>(CSW式を直接入力)</t>
    <rPh sb="4" eb="5">
      <t>シキ</t>
    </rPh>
    <rPh sb="6" eb="8">
      <t>チョクセツ</t>
    </rPh>
    <rPh sb="8" eb="10">
      <t>ニュウリョク</t>
    </rPh>
    <phoneticPr fontId="3"/>
  </si>
  <si>
    <t>Editable value as needed</t>
  </si>
  <si>
    <t>FFV</t>
  </si>
  <si>
    <t>OBD</t>
  </si>
  <si>
    <t>Editable value as needed(Depend on CompileSW)</t>
  </si>
  <si>
    <t>e-fuel</t>
  </si>
  <si>
    <t>OBD_CSS</t>
  </si>
  <si>
    <t>Other domain value</t>
  </si>
  <si>
    <t>LPG/CNG</t>
  </si>
  <si>
    <t>OBD_EGR</t>
  </si>
  <si>
    <t>Calibrated by the specialist</t>
  </si>
  <si>
    <t>OBD_EGR&amp;VVT</t>
  </si>
  <si>
    <t>Calibration value</t>
  </si>
  <si>
    <t>OBD_GPF</t>
  </si>
  <si>
    <t>Calibration value(Depend on CompileSW)</t>
  </si>
  <si>
    <t>OBD_HV関係</t>
  </si>
  <si>
    <t>Calibration SW</t>
  </si>
  <si>
    <t>OBD_ISC</t>
  </si>
  <si>
    <t>Regulation related fixed value</t>
  </si>
  <si>
    <t>OBD_S&amp;S</t>
  </si>
  <si>
    <t>Design value</t>
  </si>
  <si>
    <t>OBD_VVT</t>
  </si>
  <si>
    <t>Design value(Depend on CompileSW)</t>
  </si>
  <si>
    <t>OBD_インバランス</t>
  </si>
  <si>
    <t>Calibration value by Function evaluation</t>
  </si>
  <si>
    <t>OBD_インマニ圧センサスタック</t>
  </si>
  <si>
    <t>Calibration value by Function evaluation(Depend on CompileSW)</t>
  </si>
  <si>
    <t>OBD_エバポ</t>
  </si>
  <si>
    <t>Calibration value from Info of Function evaluation</t>
  </si>
  <si>
    <t>OBD_サーモ&amp;多機能弁</t>
  </si>
  <si>
    <t>Calibration value from Info of Function evaluation(Depend on CompileSW)</t>
  </si>
  <si>
    <t>OBD_センサ</t>
  </si>
  <si>
    <t>Calibration value by Function evaluation but need to confirm side-effect</t>
  </si>
  <si>
    <t>OBD_可変油圧</t>
  </si>
  <si>
    <t>Calibration value by Function evaluation but need to confirm side-effect(Depend on CompileSW)</t>
  </si>
  <si>
    <t>OBD_多機能弁</t>
  </si>
  <si>
    <t>Calibration ID</t>
  </si>
  <si>
    <t>OBD_失火</t>
  </si>
  <si>
    <t>Standard ID</t>
  </si>
  <si>
    <t>OBD_燃料系</t>
  </si>
  <si>
    <t>Permission value for mediation</t>
  </si>
  <si>
    <t>OBD_触媒</t>
  </si>
  <si>
    <t>OBD_過給</t>
  </si>
  <si>
    <t>Calculation Value</t>
  </si>
  <si>
    <t>OBD_過給PCV</t>
  </si>
  <si>
    <t>Substitution of Macro Value</t>
  </si>
  <si>
    <t>OBD_過給関係</t>
  </si>
  <si>
    <t>Number of Table</t>
  </si>
  <si>
    <t>OBD_電スロ</t>
  </si>
  <si>
    <t>LSB information</t>
  </si>
  <si>
    <t>OBD_電動WP</t>
  </si>
  <si>
    <t>S&amp;S</t>
  </si>
  <si>
    <t>ドラビリ</t>
  </si>
  <si>
    <t>パージ</t>
  </si>
  <si>
    <t>フェイルセーフ</t>
  </si>
  <si>
    <t>ベンチ</t>
  </si>
  <si>
    <t>ベンチ_FMW</t>
  </si>
  <si>
    <t>ベンチ_KCS</t>
  </si>
  <si>
    <t>ベンチ_VVT</t>
  </si>
  <si>
    <t>ベンチ_エアモデル</t>
  </si>
  <si>
    <t>ベンチ_ベース適合</t>
  </si>
  <si>
    <t>ベンチ_噴射</t>
  </si>
  <si>
    <t>ベンチ_潤滑系</t>
  </si>
  <si>
    <t>ベンチ_高圧ポンプ</t>
  </si>
  <si>
    <t>リモート診断</t>
  </si>
  <si>
    <t>可変油圧</t>
  </si>
  <si>
    <t>多機能弁</t>
  </si>
  <si>
    <t>希釈</t>
  </si>
  <si>
    <t>排気</t>
  </si>
  <si>
    <t>機能安全</t>
  </si>
  <si>
    <t>環境性能</t>
  </si>
  <si>
    <t>車両</t>
  </si>
  <si>
    <t>車両_エアコン</t>
  </si>
  <si>
    <t>車両_電動ファン</t>
  </si>
  <si>
    <t>過給圧制御</t>
  </si>
  <si>
    <t>電動ＷＰ</t>
  </si>
  <si>
    <t>電動ＷＰ／多機能弁</t>
  </si>
  <si>
    <t>部品名：</t>
    <rPh sb="0" eb="2">
      <t>ブヒン</t>
    </rPh>
    <rPh sb="2" eb="3">
      <t>メイ</t>
    </rPh>
    <phoneticPr fontId="3"/>
  </si>
  <si>
    <t>ディレクトリ：</t>
    <phoneticPr fontId="3"/>
  </si>
  <si>
    <t>部品CSW(和名)：</t>
    <rPh sb="0" eb="2">
      <t>ブヒン</t>
    </rPh>
    <rPh sb="6" eb="8">
      <t>ワメイ</t>
    </rPh>
    <phoneticPr fontId="3"/>
  </si>
  <si>
    <t>部品CSW(式)：</t>
    <rPh sb="0" eb="2">
      <t>ブヒン</t>
    </rPh>
    <rPh sb="6" eb="7">
      <t>シキ</t>
    </rPh>
    <phoneticPr fontId="3"/>
  </si>
  <si>
    <t>作成者：</t>
    <rPh sb="0" eb="3">
      <t>サクセイシャ</t>
    </rPh>
    <phoneticPr fontId="3"/>
  </si>
  <si>
    <t>項番</t>
    <rPh sb="0" eb="2">
      <t>コウバン</t>
    </rPh>
    <phoneticPr fontId="3"/>
  </si>
  <si>
    <t>機能</t>
    <rPh sb="0" eb="2">
      <t>キノウ</t>
    </rPh>
    <phoneticPr fontId="3"/>
  </si>
  <si>
    <t>定数名(型付で正しく記載)</t>
    <rPh sb="0" eb="2">
      <t>ジョウスウ</t>
    </rPh>
    <rPh sb="2" eb="3">
      <t>メイ</t>
    </rPh>
    <rPh sb="4" eb="5">
      <t>カタ</t>
    </rPh>
    <rPh sb="5" eb="6">
      <t>ツキ</t>
    </rPh>
    <rPh sb="7" eb="8">
      <t>タダ</t>
    </rPh>
    <rPh sb="10" eb="12">
      <t>キサイ</t>
    </rPh>
    <phoneticPr fontId="3"/>
  </si>
  <si>
    <t>符号</t>
    <rPh sb="0" eb="2">
      <t>フゴウ</t>
    </rPh>
    <phoneticPr fontId="3"/>
  </si>
  <si>
    <t>不使用</t>
    <rPh sb="0" eb="3">
      <t>フシヨウ</t>
    </rPh>
    <phoneticPr fontId="3"/>
  </si>
  <si>
    <t>制御マスタ承認回覧で確定</t>
    <rPh sb="0" eb="2">
      <t>セイギョ</t>
    </rPh>
    <rPh sb="5" eb="7">
      <t>ショウニン</t>
    </rPh>
    <rPh sb="7" eb="9">
      <t>カイラン</t>
    </rPh>
    <rPh sb="10" eb="12">
      <t>カクテイ</t>
    </rPh>
    <phoneticPr fontId="3"/>
  </si>
  <si>
    <t>表示</t>
    <rPh sb="0" eb="2">
      <t>ヒョウジ</t>
    </rPh>
    <phoneticPr fontId="3"/>
  </si>
  <si>
    <t>順序</t>
    <rPh sb="0" eb="2">
      <t>ジュンジョ</t>
    </rPh>
    <phoneticPr fontId="3"/>
  </si>
  <si>
    <t>状態</t>
    <rPh sb="0" eb="2">
      <t>ジョウタイ</t>
    </rPh>
    <phoneticPr fontId="3"/>
  </si>
  <si>
    <t>定数名</t>
    <rPh sb="0" eb="2">
      <t>ジョウスウ</t>
    </rPh>
    <rPh sb="2" eb="3">
      <t>メイ</t>
    </rPh>
    <phoneticPr fontId="3"/>
  </si>
  <si>
    <t>和名</t>
    <rPh sb="0" eb="2">
      <t>ワメイ</t>
    </rPh>
    <phoneticPr fontId="3"/>
  </si>
  <si>
    <t>単位</t>
    <rPh sb="0" eb="2">
      <t>タンイ</t>
    </rPh>
    <phoneticPr fontId="3"/>
  </si>
  <si>
    <t>標準値</t>
    <rPh sb="0" eb="2">
      <t>ヒョウジュン</t>
    </rPh>
    <rPh sb="2" eb="3">
      <t>チ</t>
    </rPh>
    <phoneticPr fontId="3"/>
  </si>
  <si>
    <t>定数タイプ</t>
    <rPh sb="0" eb="2">
      <t>ジョウスウ</t>
    </rPh>
    <phoneticPr fontId="3"/>
  </si>
  <si>
    <t>CSW(定数mﾌｧｲﾙ記述)</t>
    <rPh sb="4" eb="6">
      <t>ジョウスウ</t>
    </rPh>
    <rPh sb="11" eb="13">
      <t>キジュツ</t>
    </rPh>
    <phoneticPr fontId="3"/>
  </si>
  <si>
    <t>日本語CSW(適合知見用)</t>
    <rPh sb="0" eb="3">
      <t>ニホンゴ</t>
    </rPh>
    <rPh sb="7" eb="9">
      <t>テキゴウ</t>
    </rPh>
    <rPh sb="9" eb="11">
      <t>チケン</t>
    </rPh>
    <rPh sb="11" eb="12">
      <t>ヨウ</t>
    </rPh>
    <phoneticPr fontId="3"/>
  </si>
  <si>
    <t>定数の役割</t>
    <rPh sb="0" eb="2">
      <t>ジョウスウ</t>
    </rPh>
    <rPh sb="3" eb="5">
      <t>ヤクワリ</t>
    </rPh>
    <phoneticPr fontId="3"/>
  </si>
  <si>
    <t>関係式作成支援シート</t>
    <rPh sb="0" eb="2">
      <t>カンケイ</t>
    </rPh>
    <rPh sb="2" eb="3">
      <t>シキ</t>
    </rPh>
    <rPh sb="3" eb="5">
      <t>サクセイ</t>
    </rPh>
    <rPh sb="5" eb="7">
      <t>シエン</t>
    </rPh>
    <phoneticPr fontId="3"/>
  </si>
  <si>
    <t>定数名：</t>
    <rPh sb="0" eb="2">
      <t>ジョウスウ</t>
    </rPh>
    <rPh sb="2" eb="3">
      <t>メイ</t>
    </rPh>
    <phoneticPr fontId="3"/>
  </si>
  <si>
    <t>ﾁｪｯｸ理由：
(Remarks欄)　</t>
    <rPh sb="4" eb="6">
      <t>リユウ</t>
    </rPh>
    <rPh sb="16" eb="17">
      <t>ラン</t>
    </rPh>
    <phoneticPr fontId="3"/>
  </si>
  <si>
    <t>タイプ：</t>
    <phoneticPr fontId="3"/>
  </si>
  <si>
    <t>VALUE</t>
    <phoneticPr fontId="3"/>
  </si>
  <si>
    <t>CSW条件：</t>
    <rPh sb="3" eb="5">
      <t>ジョウケン</t>
    </rPh>
    <phoneticPr fontId="3"/>
  </si>
  <si>
    <t>下限値：</t>
    <rPh sb="0" eb="3">
      <t>カゲンチ</t>
    </rPh>
    <phoneticPr fontId="3"/>
  </si>
  <si>
    <t>下限を設定したい時に記入(下限がないときは記入不要)</t>
    <rPh sb="0" eb="2">
      <t>カゲン</t>
    </rPh>
    <rPh sb="3" eb="5">
      <t>セッテイ</t>
    </rPh>
    <rPh sb="8" eb="9">
      <t>トキ</t>
    </rPh>
    <rPh sb="10" eb="12">
      <t>キニュウ</t>
    </rPh>
    <rPh sb="13" eb="15">
      <t>カゲン</t>
    </rPh>
    <rPh sb="21" eb="25">
      <t>キニュウフヨウ</t>
    </rPh>
    <phoneticPr fontId="3"/>
  </si>
  <si>
    <t>上限値：</t>
    <rPh sb="0" eb="3">
      <t>ジョウゲンチ</t>
    </rPh>
    <phoneticPr fontId="3"/>
  </si>
  <si>
    <t>上限を設定したい時に記入(上限がないときは記入不要)</t>
    <rPh sb="0" eb="2">
      <t>ジョウゲン</t>
    </rPh>
    <rPh sb="3" eb="5">
      <t>セッテイ</t>
    </rPh>
    <rPh sb="8" eb="9">
      <t>トキ</t>
    </rPh>
    <rPh sb="10" eb="12">
      <t>キニュウ</t>
    </rPh>
    <rPh sb="13" eb="15">
      <t>ジョウゲン</t>
    </rPh>
    <rPh sb="21" eb="25">
      <t>キニュウフヨウ</t>
    </rPh>
    <phoneticPr fontId="3"/>
  </si>
  <si>
    <t>↓↓↓　関係式の作成　↓↓↓</t>
    <rPh sb="4" eb="6">
      <t>カンケイ</t>
    </rPh>
    <rPh sb="6" eb="7">
      <t>シキ</t>
    </rPh>
    <rPh sb="8" eb="10">
      <t>サクセイ</t>
    </rPh>
    <phoneticPr fontId="3"/>
  </si>
  <si>
    <t>※ 比較を行う定数名、tbl名、map名、もしくは、直値</t>
    <rPh sb="2" eb="4">
      <t>ヒカク</t>
    </rPh>
    <rPh sb="5" eb="6">
      <t>オコナ</t>
    </rPh>
    <rPh sb="7" eb="10">
      <t>ジョウスウメイ</t>
    </rPh>
    <rPh sb="14" eb="15">
      <t>メイ</t>
    </rPh>
    <rPh sb="19" eb="20">
      <t>メイ</t>
    </rPh>
    <rPh sb="26" eb="28">
      <t>チョクチ</t>
    </rPh>
    <phoneticPr fontId="3"/>
  </si>
  <si>
    <t>※ 5つ(&lt;,&lt;=,=,&gt;=,&gt;)から選択</t>
    <rPh sb="19" eb="21">
      <t>センタク</t>
    </rPh>
    <phoneticPr fontId="3"/>
  </si>
  <si>
    <t>X軸</t>
    <rPh sb="1" eb="2">
      <t>ジク</t>
    </rPh>
    <phoneticPr fontId="3"/>
  </si>
  <si>
    <t>Y軸</t>
    <rPh sb="1" eb="2">
      <t>ジク</t>
    </rPh>
    <phoneticPr fontId="3"/>
  </si>
  <si>
    <t>Z軸</t>
    <rPh sb="1" eb="2">
      <t>ジク</t>
    </rPh>
    <phoneticPr fontId="3"/>
  </si>
  <si>
    <t>W軸</t>
    <rPh sb="1" eb="2">
      <t>ジク</t>
    </rPh>
    <phoneticPr fontId="3"/>
  </si>
  <si>
    <r>
      <t xml:space="preserve">※ </t>
    </r>
    <r>
      <rPr>
        <b/>
        <sz val="11"/>
        <color theme="1"/>
        <rFont val="游ゴシック"/>
        <family val="3"/>
        <charset val="128"/>
        <scheme val="minor"/>
      </rPr>
      <t>(位置指定と値指定は排他)</t>
    </r>
    <r>
      <rPr>
        <sz val="11"/>
        <color theme="1"/>
        <rFont val="游ゴシック"/>
        <family val="2"/>
        <charset val="128"/>
        <scheme val="minor"/>
      </rPr>
      <t>MAP軸の何番目の要素を使うか</t>
    </r>
    <rPh sb="3" eb="5">
      <t>イチ</t>
    </rPh>
    <rPh sb="5" eb="7">
      <t>シテイ</t>
    </rPh>
    <rPh sb="8" eb="9">
      <t>アタイ</t>
    </rPh>
    <rPh sb="9" eb="11">
      <t>シテイ</t>
    </rPh>
    <rPh sb="12" eb="14">
      <t>ハイタ</t>
    </rPh>
    <rPh sb="18" eb="19">
      <t>ジク</t>
    </rPh>
    <rPh sb="20" eb="23">
      <t>ナンバンメ</t>
    </rPh>
    <rPh sb="24" eb="26">
      <t>ヨウソ</t>
    </rPh>
    <rPh sb="27" eb="28">
      <t>ツカ</t>
    </rPh>
    <phoneticPr fontId="3"/>
  </si>
  <si>
    <r>
      <t xml:space="preserve">※ </t>
    </r>
    <r>
      <rPr>
        <b/>
        <sz val="11"/>
        <color theme="1"/>
        <rFont val="游ゴシック"/>
        <family val="3"/>
        <charset val="128"/>
        <scheme val="minor"/>
      </rPr>
      <t>(位置指定と値指定は排他)</t>
    </r>
    <r>
      <rPr>
        <sz val="11"/>
        <color theme="1"/>
        <rFont val="游ゴシック"/>
        <family val="2"/>
        <charset val="128"/>
        <scheme val="minor"/>
      </rPr>
      <t>MAP軸の物理値を指定(MAP点に無い要素を指定したときは補間値)</t>
    </r>
    <rPh sb="18" eb="19">
      <t>ジク</t>
    </rPh>
    <rPh sb="20" eb="23">
      <t>ブツリチ</t>
    </rPh>
    <rPh sb="24" eb="26">
      <t>シテイ</t>
    </rPh>
    <rPh sb="30" eb="31">
      <t>テン</t>
    </rPh>
    <rPh sb="32" eb="33">
      <t>ナ</t>
    </rPh>
    <rPh sb="34" eb="36">
      <t>ヨウソ</t>
    </rPh>
    <rPh sb="37" eb="39">
      <t>シテイ</t>
    </rPh>
    <rPh sb="44" eb="46">
      <t>ホカン</t>
    </rPh>
    <rPh sb="46" eb="47">
      <t>チ</t>
    </rPh>
    <phoneticPr fontId="3"/>
  </si>
  <si>
    <t>※ 位置、値に「:」を入力すると、その軸はすべての要素が対象となります。</t>
    <rPh sb="2" eb="4">
      <t>イチ</t>
    </rPh>
    <rPh sb="5" eb="6">
      <t>アタイ</t>
    </rPh>
    <rPh sb="11" eb="13">
      <t>ニュウリョク</t>
    </rPh>
    <rPh sb="19" eb="20">
      <t>ジク</t>
    </rPh>
    <rPh sb="25" eb="27">
      <t>ヨウソ</t>
    </rPh>
    <rPh sb="28" eb="30">
      <t>タイショウ</t>
    </rPh>
    <phoneticPr fontId="3"/>
  </si>
  <si>
    <t xml:space="preserve"> ※ MAP同士の比較でMAP軸の設定一致を指示</t>
    <rPh sb="6" eb="8">
      <t>ドウシ</t>
    </rPh>
    <rPh sb="9" eb="11">
      <t>ヒカク</t>
    </rPh>
    <rPh sb="15" eb="16">
      <t>ジク</t>
    </rPh>
    <rPh sb="17" eb="19">
      <t>セッテイ</t>
    </rPh>
    <rPh sb="19" eb="21">
      <t>イッチ</t>
    </rPh>
    <rPh sb="22" eb="24">
      <t>シジ</t>
    </rPh>
    <phoneticPr fontId="3"/>
  </si>
  <si>
    <t>X軸:</t>
    <rPh sb="1" eb="2">
      <t>ジク</t>
    </rPh>
    <phoneticPr fontId="3"/>
  </si>
  <si>
    <t>Y軸:</t>
    <rPh sb="1" eb="2">
      <t>ジク</t>
    </rPh>
    <phoneticPr fontId="3"/>
  </si>
  <si>
    <t>Z軸:</t>
    <rPh sb="1" eb="2">
      <t>ジク</t>
    </rPh>
    <phoneticPr fontId="3"/>
  </si>
  <si>
    <t>W軸:</t>
    <rPh sb="1" eb="2">
      <t>ジク</t>
    </rPh>
    <phoneticPr fontId="3"/>
  </si>
  <si>
    <t>CSW</t>
    <phoneticPr fontId="3"/>
  </si>
  <si>
    <t>Type</t>
    <phoneticPr fontId="3"/>
  </si>
  <si>
    <t>Name</t>
    <phoneticPr fontId="3"/>
  </si>
  <si>
    <t>Function</t>
    <phoneticPr fontId="3"/>
  </si>
  <si>
    <t>Depe</t>
    <phoneticPr fontId="3"/>
  </si>
  <si>
    <t>x</t>
    <phoneticPr fontId="3"/>
  </si>
  <si>
    <t>y</t>
    <phoneticPr fontId="3"/>
  </si>
  <si>
    <t>z</t>
    <phoneticPr fontId="3"/>
  </si>
  <si>
    <t>w</t>
    <phoneticPr fontId="3"/>
  </si>
  <si>
    <t>Cau</t>
    <phoneticPr fontId="3"/>
  </si>
  <si>
    <t>Add</t>
    <phoneticPr fontId="3"/>
  </si>
  <si>
    <t>Remark</t>
    <phoneticPr fontId="3"/>
  </si>
  <si>
    <t>CRETAチェッカー設定マニュアル：\\aplcretatmc\CRETA_AddOn\CRETACalibrationChecker\tekigou\CRETACalibrationCheckerUserGuide.pdf</t>
    <rPh sb="10" eb="12">
      <t>セッテイ</t>
    </rPh>
    <phoneticPr fontId="3"/>
  </si>
  <si>
    <t>関係式：</t>
    <rPh sb="0" eb="2">
      <t>カンケイ</t>
    </rPh>
    <rPh sb="2" eb="3">
      <t>シキ</t>
    </rPh>
    <phoneticPr fontId="3"/>
  </si>
  <si>
    <t>(参考)CRETAﾁｪｯｶｰﾌｫﾙﾀﾞ</t>
    <rPh sb="1" eb="3">
      <t>サンコウ</t>
    </rPh>
    <phoneticPr fontId="3"/>
  </si>
  <si>
    <t>　※ 四則演算子と数字と定数名(型込み)で記載</t>
    <phoneticPr fontId="3"/>
  </si>
  <si>
    <r>
      <t>変換式</t>
    </r>
    <r>
      <rPr>
        <sz val="11"/>
        <rFont val="游ゴシック"/>
        <family val="3"/>
        <charset val="128"/>
        <scheme val="minor"/>
      </rPr>
      <t>(1～7行目参考)</t>
    </r>
    <rPh sb="0" eb="2">
      <t>ヘンカン</t>
    </rPh>
    <rPh sb="2" eb="3">
      <t>シキ</t>
    </rPh>
    <rPh sb="7" eb="9">
      <t>ギョウメ</t>
    </rPh>
    <rPh sb="9" eb="11">
      <t>サンコウ</t>
    </rPh>
    <phoneticPr fontId="3"/>
  </si>
  <si>
    <r>
      <t>軸入替(x,y,</t>
    </r>
    <r>
      <rPr>
        <sz val="11"/>
        <color rgb="FFFF0000"/>
        <rFont val="游ゴシック"/>
        <family val="3"/>
        <charset val="128"/>
        <scheme val="minor"/>
      </rPr>
      <t>z</t>
    </r>
    <r>
      <rPr>
        <sz val="11"/>
        <color theme="1"/>
        <rFont val="游ゴシック"/>
        <family val="2"/>
        <charset val="128"/>
        <scheme val="minor"/>
      </rPr>
      <t>→x,</t>
    </r>
    <r>
      <rPr>
        <sz val="11"/>
        <color rgb="FFFF0000"/>
        <rFont val="游ゴシック"/>
        <family val="3"/>
        <charset val="128"/>
        <scheme val="minor"/>
      </rPr>
      <t>z</t>
    </r>
    <r>
      <rPr>
        <sz val="11"/>
        <color theme="1"/>
        <rFont val="游ゴシック"/>
        <family val="2"/>
        <charset val="128"/>
        <scheme val="minor"/>
      </rPr>
      <t xml:space="preserve">,y)⇒ </t>
    </r>
    <r>
      <rPr>
        <b/>
        <sz val="11"/>
        <color theme="1"/>
        <rFont val="游ゴシック"/>
        <family val="3"/>
        <charset val="128"/>
        <scheme val="minor"/>
      </rPr>
      <t>『(1,</t>
    </r>
    <r>
      <rPr>
        <b/>
        <sz val="11"/>
        <color rgb="FFFF0000"/>
        <rFont val="游ゴシック"/>
        <family val="3"/>
        <charset val="128"/>
        <scheme val="minor"/>
      </rPr>
      <t>3</t>
    </r>
    <r>
      <rPr>
        <b/>
        <sz val="11"/>
        <color theme="1"/>
        <rFont val="游ゴシック"/>
        <family val="3"/>
        <charset val="128"/>
        <scheme val="minor"/>
      </rPr>
      <t>,2)』</t>
    </r>
    <rPh sb="0" eb="1">
      <t>ジク</t>
    </rPh>
    <rPh sb="1" eb="3">
      <t>イレカエ</t>
    </rPh>
    <phoneticPr fontId="3"/>
  </si>
  <si>
    <r>
      <t xml:space="preserve">式変換⇒ </t>
    </r>
    <r>
      <rPr>
        <b/>
        <sz val="11"/>
        <color theme="1"/>
        <rFont val="游ゴシック"/>
        <family val="3"/>
        <charset val="128"/>
        <scheme val="minor"/>
      </rPr>
      <t>『1/f4s_eklsm_GARCALT』</t>
    </r>
    <rPh sb="0" eb="1">
      <t>シキ</t>
    </rPh>
    <rPh sb="1" eb="3">
      <t>ヘンカン</t>
    </rPh>
    <phoneticPr fontId="3"/>
  </si>
  <si>
    <t>適合知見(知見＋適合方法＋初期値(ある場合))</t>
    <rPh sb="0" eb="2">
      <t>テキゴウ</t>
    </rPh>
    <rPh sb="2" eb="4">
      <t>チケン</t>
    </rPh>
    <rPh sb="5" eb="7">
      <t>チケン</t>
    </rPh>
    <rPh sb="8" eb="10">
      <t>テキゴウ</t>
    </rPh>
    <rPh sb="10" eb="12">
      <t>ホウホウ</t>
    </rPh>
    <rPh sb="13" eb="16">
      <t>ショキチ</t>
    </rPh>
    <rPh sb="19" eb="21">
      <t>バアイ</t>
    </rPh>
    <phoneticPr fontId="3"/>
  </si>
  <si>
    <t>チェック理由(Remarks)</t>
    <rPh sb="4" eb="6">
      <t>リユウ</t>
    </rPh>
    <phoneticPr fontId="3"/>
  </si>
  <si>
    <t>値・別定数名</t>
    <rPh sb="0" eb="1">
      <t>アタイ</t>
    </rPh>
    <rPh sb="2" eb="3">
      <t>ベツ</t>
    </rPh>
    <rPh sb="3" eb="5">
      <t>ジョウスウ</t>
    </rPh>
    <rPh sb="5" eb="6">
      <t>メイ</t>
    </rPh>
    <phoneticPr fontId="3"/>
  </si>
  <si>
    <t>①比較定数名or直値：</t>
    <rPh sb="1" eb="3">
      <t>ヒカク</t>
    </rPh>
    <rPh sb="3" eb="5">
      <t>ジョウスウ</t>
    </rPh>
    <rPh sb="5" eb="6">
      <t>メイ</t>
    </rPh>
    <rPh sb="8" eb="9">
      <t>ナオ</t>
    </rPh>
    <rPh sb="9" eb="10">
      <t>チ</t>
    </rPh>
    <phoneticPr fontId="3"/>
  </si>
  <si>
    <t>②比較式：</t>
    <rPh sb="1" eb="4">
      <t>ヒカクシキ</t>
    </rPh>
    <phoneticPr fontId="3"/>
  </si>
  <si>
    <t>③最小値/最大値</t>
    <rPh sb="1" eb="4">
      <t>サイショウチ</t>
    </rPh>
    <rPh sb="5" eb="8">
      <t>サイダイチ</t>
    </rPh>
    <phoneticPr fontId="3"/>
  </si>
  <si>
    <t>※ ①のTBL・MAPに対して最小(min)/最大(max)値の指定。(最小/最大不要時は空白のまま)</t>
    <rPh sb="12" eb="13">
      <t>タイ</t>
    </rPh>
    <rPh sb="15" eb="17">
      <t>サイショウ</t>
    </rPh>
    <rPh sb="23" eb="25">
      <t>サイダイ</t>
    </rPh>
    <rPh sb="30" eb="31">
      <t>チ</t>
    </rPh>
    <rPh sb="32" eb="34">
      <t>シテイ</t>
    </rPh>
    <rPh sb="36" eb="38">
      <t>サイショウ</t>
    </rPh>
    <rPh sb="39" eb="41">
      <t>サイダイ</t>
    </rPh>
    <rPh sb="41" eb="43">
      <t>フヨウ</t>
    </rPh>
    <rPh sb="43" eb="44">
      <t>ジ</t>
    </rPh>
    <rPh sb="45" eb="47">
      <t>クウハク</t>
    </rPh>
    <phoneticPr fontId="3"/>
  </si>
  <si>
    <t>各自が確実に対応</t>
    <rPh sb="0" eb="2">
      <t>カクジ</t>
    </rPh>
    <rPh sb="3" eb="5">
      <t>カクジツ</t>
    </rPh>
    <rPh sb="6" eb="8">
      <t>タイオウ</t>
    </rPh>
    <phoneticPr fontId="3"/>
  </si>
  <si>
    <r>
      <t>3次元→4次元(</t>
    </r>
    <r>
      <rPr>
        <sz val="11"/>
        <color rgb="FFFF0000"/>
        <rFont val="游ゴシック"/>
        <family val="3"/>
        <charset val="128"/>
        <scheme val="minor"/>
      </rPr>
      <t>w</t>
    </r>
    <r>
      <rPr>
        <sz val="11"/>
        <color theme="1"/>
        <rFont val="游ゴシック"/>
        <family val="2"/>
        <charset val="128"/>
        <scheme val="minor"/>
      </rPr>
      <t xml:space="preserve">軸追加)⇒ </t>
    </r>
    <r>
      <rPr>
        <b/>
        <sz val="11"/>
        <color theme="1"/>
        <rFont val="游ゴシック"/>
        <family val="3"/>
        <charset val="128"/>
        <scheme val="minor"/>
      </rPr>
      <t>『(1,2,3,</t>
    </r>
    <r>
      <rPr>
        <b/>
        <sz val="11"/>
        <color rgb="FFFF0000"/>
        <rFont val="游ゴシック"/>
        <family val="3"/>
        <charset val="128"/>
        <scheme val="minor"/>
      </rPr>
      <t>w</t>
    </r>
    <r>
      <rPr>
        <b/>
        <sz val="11"/>
        <color theme="1"/>
        <rFont val="游ゴシック"/>
        <family val="3"/>
        <charset val="128"/>
        <scheme val="minor"/>
      </rPr>
      <t>)』</t>
    </r>
    <rPh sb="1" eb="3">
      <t>ジゲン</t>
    </rPh>
    <rPh sb="5" eb="7">
      <t>ジゲン</t>
    </rPh>
    <rPh sb="9" eb="10">
      <t>ジク</t>
    </rPh>
    <rPh sb="10" eb="12">
      <t>ツイカ</t>
    </rPh>
    <phoneticPr fontId="3"/>
  </si>
  <si>
    <r>
      <t>3次元→4次元(</t>
    </r>
    <r>
      <rPr>
        <sz val="11"/>
        <color rgb="FFFF0000"/>
        <rFont val="游ゴシック"/>
        <family val="3"/>
        <charset val="128"/>
        <scheme val="minor"/>
      </rPr>
      <t>y</t>
    </r>
    <r>
      <rPr>
        <sz val="11"/>
        <color theme="1"/>
        <rFont val="游ゴシック"/>
        <family val="2"/>
        <charset val="128"/>
        <scheme val="minor"/>
      </rPr>
      <t xml:space="preserve">軸が追加)⇒ </t>
    </r>
    <r>
      <rPr>
        <b/>
        <sz val="11"/>
        <color theme="1"/>
        <rFont val="游ゴシック"/>
        <family val="3"/>
        <charset val="128"/>
        <scheme val="minor"/>
      </rPr>
      <t>『(1,</t>
    </r>
    <r>
      <rPr>
        <b/>
        <sz val="11"/>
        <color rgb="FFFF0000"/>
        <rFont val="游ゴシック"/>
        <family val="3"/>
        <charset val="128"/>
        <scheme val="minor"/>
      </rPr>
      <t>y</t>
    </r>
    <r>
      <rPr>
        <b/>
        <sz val="11"/>
        <color theme="1"/>
        <rFont val="游ゴシック"/>
        <family val="3"/>
        <charset val="128"/>
        <scheme val="minor"/>
      </rPr>
      <t>,2,3)』</t>
    </r>
    <rPh sb="1" eb="3">
      <t>ジゲン</t>
    </rPh>
    <rPh sb="5" eb="7">
      <t>ジゲン</t>
    </rPh>
    <rPh sb="9" eb="10">
      <t>ジク</t>
    </rPh>
    <rPh sb="11" eb="13">
      <t>ツイカ</t>
    </rPh>
    <phoneticPr fontId="3"/>
  </si>
  <si>
    <t>項番(記入内容のUNIQUE)</t>
    <rPh sb="0" eb="2">
      <t>コウバン</t>
    </rPh>
    <rPh sb="3" eb="5">
      <t>キニュウ</t>
    </rPh>
    <rPh sb="5" eb="7">
      <t>ナイヨウ</t>
    </rPh>
    <phoneticPr fontId="3"/>
  </si>
  <si>
    <t>手入力する時は、↑に直接書いて下さい。 関係式支援を使う時は↓で作成してﾎﾞﾀﾝで追加してください(※ 「()」が必要な時は手動で要追加)</t>
    <rPh sb="0" eb="1">
      <t>テ</t>
    </rPh>
    <rPh sb="1" eb="3">
      <t>ニュウリョク</t>
    </rPh>
    <rPh sb="5" eb="6">
      <t>トキ</t>
    </rPh>
    <rPh sb="10" eb="12">
      <t>チョクセツ</t>
    </rPh>
    <rPh sb="12" eb="13">
      <t>カ</t>
    </rPh>
    <rPh sb="15" eb="16">
      <t>クダ</t>
    </rPh>
    <rPh sb="20" eb="22">
      <t>カンケイ</t>
    </rPh>
    <rPh sb="22" eb="23">
      <t>シキ</t>
    </rPh>
    <rPh sb="23" eb="25">
      <t>シエン</t>
    </rPh>
    <rPh sb="26" eb="27">
      <t>ツカ</t>
    </rPh>
    <rPh sb="28" eb="29">
      <t>トキ</t>
    </rPh>
    <rPh sb="32" eb="34">
      <t>サクセイ</t>
    </rPh>
    <rPh sb="41" eb="43">
      <t>ツイカ</t>
    </rPh>
    <rPh sb="57" eb="59">
      <t>ヒツヨウ</t>
    </rPh>
    <rPh sb="60" eb="61">
      <t>トキ</t>
    </rPh>
    <rPh sb="62" eb="64">
      <t>シュドウ</t>
    </rPh>
    <rPh sb="65" eb="66">
      <t>ヨウ</t>
    </rPh>
    <rPh sb="66" eb="68">
      <t>ツイカ</t>
    </rPh>
    <phoneticPr fontId="3"/>
  </si>
  <si>
    <t>← 関係式支援利用時、「＋」を押してグループ開く</t>
    <rPh sb="2" eb="4">
      <t>カンケイ</t>
    </rPh>
    <rPh sb="4" eb="5">
      <t>シキ</t>
    </rPh>
    <rPh sb="5" eb="7">
      <t>シエン</t>
    </rPh>
    <rPh sb="7" eb="9">
      <t>リヨウ</t>
    </rPh>
    <rPh sb="9" eb="10">
      <t>ジ</t>
    </rPh>
    <rPh sb="15" eb="16">
      <t>オ</t>
    </rPh>
    <rPh sb="22" eb="23">
      <t>ヒラ</t>
    </rPh>
    <phoneticPr fontId="3"/>
  </si>
  <si>
    <t>関係式の作成支援：</t>
    <rPh sb="0" eb="2">
      <t>カンケイ</t>
    </rPh>
    <rPh sb="2" eb="3">
      <t>シキ</t>
    </rPh>
    <rPh sb="4" eb="6">
      <t>サクセイ</t>
    </rPh>
    <rPh sb="6" eb="8">
      <t>シエン</t>
    </rPh>
    <phoneticPr fontId="3"/>
  </si>
  <si>
    <t>④元定数tbl,mapの特定位置：</t>
    <rPh sb="1" eb="2">
      <t>モト</t>
    </rPh>
    <rPh sb="2" eb="4">
      <t>ジョウスウ</t>
    </rPh>
    <rPh sb="12" eb="16">
      <t>トクテイイチ</t>
    </rPh>
    <phoneticPr fontId="3"/>
  </si>
  <si>
    <t>MAP&amp;TBL対応： 比較定数の軸の位置指定：</t>
    <rPh sb="7" eb="9">
      <t>タイオウ</t>
    </rPh>
    <rPh sb="11" eb="13">
      <t>ヒカク</t>
    </rPh>
    <rPh sb="13" eb="15">
      <t>ジョウスウ</t>
    </rPh>
    <rPh sb="16" eb="17">
      <t>ジク</t>
    </rPh>
    <rPh sb="18" eb="20">
      <t>イチ</t>
    </rPh>
    <rPh sb="20" eb="22">
      <t>シテイ</t>
    </rPh>
    <phoneticPr fontId="3"/>
  </si>
  <si>
    <t>MAPのみ対応：　 比較定数の軸の値指定：</t>
    <rPh sb="5" eb="7">
      <t>タイオウ</t>
    </rPh>
    <rPh sb="10" eb="12">
      <t>ヒカク</t>
    </rPh>
    <rPh sb="12" eb="14">
      <t>ジョウスウ</t>
    </rPh>
    <rPh sb="15" eb="16">
      <t>ジク</t>
    </rPh>
    <rPh sb="17" eb="18">
      <t>アタイ</t>
    </rPh>
    <rPh sb="18" eb="20">
      <t>シテイ</t>
    </rPh>
    <phoneticPr fontId="3"/>
  </si>
  <si>
    <t>⑤比較tbl,mapの特定位置：</t>
    <rPh sb="1" eb="3">
      <t>ヒカク</t>
    </rPh>
    <rPh sb="11" eb="15">
      <t>トクテイイチ</t>
    </rPh>
    <phoneticPr fontId="3"/>
  </si>
  <si>
    <t>⑥MAP軸自体の一致</t>
    <rPh sb="4" eb="5">
      <t>ジク</t>
    </rPh>
    <rPh sb="5" eb="7">
      <t>ジタイ</t>
    </rPh>
    <rPh sb="8" eb="10">
      <t>イッチ</t>
    </rPh>
    <phoneticPr fontId="3"/>
  </si>
  <si>
    <t>判定不要</t>
    <phoneticPr fontId="3"/>
  </si>
  <si>
    <t xml:space="preserve">別定数との比較条件がある時に記入 </t>
    <rPh sb="0" eb="1">
      <t>ベツ</t>
    </rPh>
    <rPh sb="1" eb="3">
      <t>ジョウスウ</t>
    </rPh>
    <rPh sb="5" eb="7">
      <t>ヒカク</t>
    </rPh>
    <rPh sb="7" eb="9">
      <t>ジョウケン</t>
    </rPh>
    <rPh sb="12" eb="13">
      <t>トキ</t>
    </rPh>
    <rPh sb="14" eb="16">
      <t>キニュウ</t>
    </rPh>
    <phoneticPr fontId="3"/>
  </si>
  <si>
    <t>※ 下行の各種黄色セルへの入力・操作で式を簡易生成。 (エクセル左枠外の「＋」を押して、グループを開いてください)</t>
    <rPh sb="2" eb="3">
      <t>シタ</t>
    </rPh>
    <rPh sb="3" eb="4">
      <t>ギョウ</t>
    </rPh>
    <rPh sb="5" eb="7">
      <t>カクシュ</t>
    </rPh>
    <rPh sb="7" eb="9">
      <t>キイロ</t>
    </rPh>
    <rPh sb="13" eb="15">
      <t>ニュウリョク</t>
    </rPh>
    <rPh sb="16" eb="18">
      <t>ソウサ</t>
    </rPh>
    <rPh sb="19" eb="20">
      <t>シキ</t>
    </rPh>
    <rPh sb="21" eb="23">
      <t>カンイ</t>
    </rPh>
    <rPh sb="23" eb="25">
      <t>セイセイ</t>
    </rPh>
    <rPh sb="32" eb="33">
      <t>ヒダリ</t>
    </rPh>
    <rPh sb="33" eb="35">
      <t>ワクガイ</t>
    </rPh>
    <rPh sb="40" eb="41">
      <t>オ</t>
    </rPh>
    <rPh sb="49" eb="50">
      <t>ヒラ</t>
    </rPh>
    <phoneticPr fontId="3"/>
  </si>
  <si>
    <t>※ここは参考に乗せています。最終的な転記支援エクセルへの出力は「定数一覧」シートの入力を使います。</t>
    <rPh sb="4" eb="6">
      <t>サンコウ</t>
    </rPh>
    <rPh sb="7" eb="8">
      <t>ノ</t>
    </rPh>
    <rPh sb="14" eb="17">
      <t>サイシュウテキ</t>
    </rPh>
    <rPh sb="18" eb="20">
      <t>テンキ</t>
    </rPh>
    <rPh sb="20" eb="22">
      <t>シエン</t>
    </rPh>
    <rPh sb="28" eb="30">
      <t>シュツリョク</t>
    </rPh>
    <rPh sb="32" eb="34">
      <t>ジョウスウ</t>
    </rPh>
    <rPh sb="34" eb="36">
      <t>イチラン</t>
    </rPh>
    <rPh sb="41" eb="43">
      <t>ニュウリョク</t>
    </rPh>
    <rPh sb="44" eb="45">
      <t>ツカ</t>
    </rPh>
    <phoneticPr fontId="3"/>
  </si>
  <si>
    <t>Status Accuracy/精度：</t>
    <rPh sb="16" eb="18">
      <t>セイド</t>
    </rPh>
    <phoneticPr fontId="1"/>
  </si>
  <si>
    <t>適合初期値(標準外：0や○○定数移植 等がある時)を記載</t>
    <rPh sb="0" eb="2">
      <t>テキゴウ</t>
    </rPh>
    <rPh sb="2" eb="5">
      <t>ショキチ</t>
    </rPh>
    <rPh sb="6" eb="8">
      <t>ヒョウジュン</t>
    </rPh>
    <rPh sb="8" eb="9">
      <t>ガイ</t>
    </rPh>
    <rPh sb="14" eb="16">
      <t>ジョウスウ</t>
    </rPh>
    <rPh sb="16" eb="18">
      <t>イショク</t>
    </rPh>
    <rPh sb="19" eb="20">
      <t>ナド</t>
    </rPh>
    <rPh sb="23" eb="24">
      <t>トキ</t>
    </rPh>
    <rPh sb="26" eb="28">
      <t>キサイ</t>
    </rPh>
    <phoneticPr fontId="3"/>
  </si>
  <si>
    <t>適合知見、適合方法、</t>
    <rPh sb="0" eb="2">
      <t>テキゴウ</t>
    </rPh>
    <rPh sb="2" eb="4">
      <t>チケン</t>
    </rPh>
    <rPh sb="5" eb="7">
      <t>テキゴウ</t>
    </rPh>
    <rPh sb="7" eb="9">
      <t>ホウホウ</t>
    </rPh>
    <phoneticPr fontId="3"/>
  </si>
  <si>
    <t>一括登録ｼｰﾄに転記↑</t>
    <rPh sb="0" eb="2">
      <t>イッカツ</t>
    </rPh>
    <rPh sb="2" eb="4">
      <t>トウロク</t>
    </rPh>
    <rPh sb="8" eb="10">
      <t>テンキ</t>
    </rPh>
    <phoneticPr fontId="3"/>
  </si>
  <si>
    <t>→臨時対応</t>
    <rPh sb="1" eb="3">
      <t>リンジ</t>
    </rPh>
    <rPh sb="3" eb="5">
      <t>タイオウ</t>
    </rPh>
    <phoneticPr fontId="3"/>
  </si>
  <si>
    <t>ExtendedConditions</t>
  </si>
  <si>
    <t>一覧の「関係式」への記入形態：</t>
    <rPh sb="0" eb="2">
      <t>イチラン</t>
    </rPh>
    <rPh sb="4" eb="6">
      <t>カンケイ</t>
    </rPh>
    <rPh sb="6" eb="7">
      <t>シキ</t>
    </rPh>
    <rPh sb="10" eb="12">
      <t>キニュウ</t>
    </rPh>
    <rPh sb="12" eb="14">
      <t>ケイタイ</t>
    </rPh>
    <phoneticPr fontId="3"/>
  </si>
  <si>
    <t>式の数：</t>
    <rPh sb="0" eb="1">
      <t>シキ</t>
    </rPh>
    <rPh sb="2" eb="3">
      <t>カズ</t>
    </rPh>
    <phoneticPr fontId="3"/>
  </si>
  <si>
    <t>(定数CSW)：</t>
    <rPh sb="1" eb="3">
      <t>ジョウスウ</t>
    </rPh>
    <phoneticPr fontId="3"/>
  </si>
  <si>
    <r>
      <t>ﾁｪｯｸ用のCSW条件記入。</t>
    </r>
    <r>
      <rPr>
        <b/>
        <sz val="11"/>
        <color rgb="FFFF0000"/>
        <rFont val="游ゴシック"/>
        <family val="3"/>
        <charset val="128"/>
        <scheme val="minor"/>
      </rPr>
      <t>※ 部品CSWは記入不要です(自動付与)</t>
    </r>
    <r>
      <rPr>
        <b/>
        <sz val="11"/>
        <color theme="1"/>
        <rFont val="游ゴシック"/>
        <family val="3"/>
        <charset val="128"/>
        <scheme val="minor"/>
      </rPr>
      <t>。 定数のCSWを初期セット済み。表示修正したい時は直接編集。</t>
    </r>
    <rPh sb="4" eb="5">
      <t>ヨウ</t>
    </rPh>
    <rPh sb="9" eb="11">
      <t>ジョウケン</t>
    </rPh>
    <rPh sb="11" eb="13">
      <t>キニュウ</t>
    </rPh>
    <rPh sb="16" eb="18">
      <t>ブヒン</t>
    </rPh>
    <rPh sb="22" eb="24">
      <t>キニュウ</t>
    </rPh>
    <rPh sb="24" eb="26">
      <t>フヨウ</t>
    </rPh>
    <rPh sb="29" eb="31">
      <t>ジドウ</t>
    </rPh>
    <rPh sb="31" eb="33">
      <t>フヨ</t>
    </rPh>
    <rPh sb="36" eb="38">
      <t>ジョウスウ</t>
    </rPh>
    <rPh sb="43" eb="45">
      <t>ショキ</t>
    </rPh>
    <rPh sb="48" eb="49">
      <t>ズ</t>
    </rPh>
    <rPh sb="51" eb="53">
      <t>ヒョウジ</t>
    </rPh>
    <rPh sb="53" eb="55">
      <t>シュウセイ</t>
    </rPh>
    <rPh sb="58" eb="59">
      <t>トキ</t>
    </rPh>
    <rPh sb="60" eb="62">
      <t>チョクセツ</t>
    </rPh>
    <rPh sb="62" eb="64">
      <t>ヘンシュウ</t>
    </rPh>
    <phoneticPr fontId="3"/>
  </si>
  <si>
    <t>　※1：全角文字は使用禁止！</t>
    <phoneticPr fontId="3"/>
  </si>
  <si>
    <r>
      <rPr>
        <b/>
        <sz val="11"/>
        <color theme="1"/>
        <rFont val="游ゴシック"/>
        <family val="3"/>
        <charset val="128"/>
        <scheme val="minor"/>
      </rPr>
      <t>　※2：各入力セルの書式はあえて”文字列”としています。</t>
    </r>
    <r>
      <rPr>
        <sz val="11"/>
        <color theme="1"/>
        <rFont val="游ゴシック"/>
        <family val="2"/>
        <charset val="128"/>
        <scheme val="minor"/>
      </rPr>
      <t xml:space="preserve"> (エクセルによる数値丸めこみ回避の為)</t>
    </r>
    <rPh sb="4" eb="5">
      <t>カク</t>
    </rPh>
    <rPh sb="5" eb="7">
      <t>ニュウリョク</t>
    </rPh>
    <rPh sb="10" eb="12">
      <t>ショシキ</t>
    </rPh>
    <rPh sb="17" eb="20">
      <t>モジレツ</t>
    </rPh>
    <rPh sb="37" eb="39">
      <t>スウチ</t>
    </rPh>
    <rPh sb="39" eb="40">
      <t>マル</t>
    </rPh>
    <rPh sb="43" eb="45">
      <t>カイヒ</t>
    </rPh>
    <rPh sb="46" eb="47">
      <t>タメ</t>
    </rPh>
    <phoneticPr fontId="3"/>
  </si>
  <si>
    <r>
      <t>CRETAのチェックは、</t>
    </r>
    <r>
      <rPr>
        <b/>
        <u/>
        <sz val="14"/>
        <color rgb="FFFF0000"/>
        <rFont val="游ゴシック"/>
        <family val="3"/>
        <charset val="128"/>
        <scheme val="minor"/>
      </rPr>
      <t>条件式から外れた(FALSE)時に「NG」として警告</t>
    </r>
    <r>
      <rPr>
        <b/>
        <sz val="14"/>
        <color theme="1"/>
        <rFont val="游ゴシック"/>
        <family val="3"/>
        <charset val="128"/>
        <scheme val="minor"/>
      </rPr>
      <t xml:space="preserve">を出します。 </t>
    </r>
    <r>
      <rPr>
        <b/>
        <u/>
        <sz val="14"/>
        <color rgb="FFFF0000"/>
        <rFont val="游ゴシック"/>
        <family val="3"/>
        <charset val="128"/>
        <scheme val="minor"/>
      </rPr>
      <t>OKとなる定数の式を記入</t>
    </r>
    <r>
      <rPr>
        <b/>
        <sz val="14"/>
        <rFont val="游ゴシック"/>
        <family val="3"/>
        <charset val="128"/>
        <scheme val="minor"/>
      </rPr>
      <t>してください。</t>
    </r>
    <rPh sb="12" eb="14">
      <t>ジョウケン</t>
    </rPh>
    <rPh sb="14" eb="15">
      <t>シキ</t>
    </rPh>
    <rPh sb="17" eb="18">
      <t>ハズ</t>
    </rPh>
    <rPh sb="27" eb="28">
      <t>トキ</t>
    </rPh>
    <rPh sb="36" eb="38">
      <t>ケイコク</t>
    </rPh>
    <rPh sb="39" eb="40">
      <t>ダ</t>
    </rPh>
    <rPh sb="50" eb="52">
      <t>ジョウスウ</t>
    </rPh>
    <rPh sb="53" eb="54">
      <t>シキ</t>
    </rPh>
    <rPh sb="55" eb="57">
      <t>キニュウ</t>
    </rPh>
    <phoneticPr fontId="3"/>
  </si>
  <si>
    <t>x = 200</t>
    <phoneticPr fontId="3"/>
  </si>
  <si>
    <t>一覧の対象Range：</t>
    <rPh sb="0" eb="2">
      <t>イチラン</t>
    </rPh>
    <rPh sb="3" eb="5">
      <t>タイショウ</t>
    </rPh>
    <phoneticPr fontId="3"/>
  </si>
  <si>
    <t>test</t>
    <phoneticPr fontId="3"/>
  </si>
  <si>
    <r>
      <rPr>
        <b/>
        <sz val="11"/>
        <color theme="1"/>
        <rFont val="游ゴシック"/>
        <family val="3"/>
        <charset val="128"/>
        <scheme val="minor"/>
      </rPr>
      <t xml:space="preserve">＜入力式の参考表示＞ </t>
    </r>
    <r>
      <rPr>
        <sz val="11"/>
        <color theme="1"/>
        <rFont val="游ゴシック"/>
        <family val="2"/>
        <charset val="128"/>
        <scheme val="minor"/>
      </rPr>
      <t>※ ここは簡易表示のため、正式な出力は転記支援エクセルをご確認下さい。</t>
    </r>
    <r>
      <rPr>
        <sz val="11"/>
        <color theme="1"/>
        <rFont val="游ゴシック"/>
        <family val="3"/>
        <charset val="128"/>
        <scheme val="minor"/>
      </rPr>
      <t xml:space="preserve"> ( 特にここではまだ、NOT表現がMATLAB式の「~」です。(転記支援エクセルでは「!」に置換))</t>
    </r>
    <rPh sb="1" eb="3">
      <t>ニュウリョク</t>
    </rPh>
    <rPh sb="3" eb="4">
      <t>シキ</t>
    </rPh>
    <rPh sb="5" eb="7">
      <t>サンコウ</t>
    </rPh>
    <rPh sb="7" eb="9">
      <t>ヒョウジ</t>
    </rPh>
    <rPh sb="16" eb="18">
      <t>カンイ</t>
    </rPh>
    <rPh sb="18" eb="20">
      <t>ヒョウジ</t>
    </rPh>
    <rPh sb="24" eb="26">
      <t>セイシキ</t>
    </rPh>
    <rPh sb="27" eb="29">
      <t>シュツリョク</t>
    </rPh>
    <rPh sb="30" eb="32">
      <t>テンキ</t>
    </rPh>
    <rPh sb="32" eb="34">
      <t>シエン</t>
    </rPh>
    <rPh sb="40" eb="43">
      <t>カクニンクダ</t>
    </rPh>
    <rPh sb="49" eb="50">
      <t>トク</t>
    </rPh>
    <rPh sb="61" eb="63">
      <t>ヒョウゲン</t>
    </rPh>
    <rPh sb="70" eb="71">
      <t>シキ</t>
    </rPh>
    <rPh sb="79" eb="81">
      <t>テンキ</t>
    </rPh>
    <rPh sb="81" eb="83">
      <t>シエン</t>
    </rPh>
    <rPh sb="93" eb="95">
      <t>チカン</t>
    </rPh>
    <phoneticPr fontId="3"/>
  </si>
  <si>
    <t>※誤表現有り。要確認</t>
    <rPh sb="1" eb="2">
      <t>ゴ</t>
    </rPh>
    <rPh sb="2" eb="4">
      <t>ヒョウゲン</t>
    </rPh>
    <rPh sb="4" eb="5">
      <t>ア</t>
    </rPh>
    <rPh sb="7" eb="8">
      <t>ヨウ</t>
    </rPh>
    <rPh sb="8" eb="10">
      <t>カクニン</t>
    </rPh>
    <phoneticPr fontId="3"/>
  </si>
  <si>
    <t>$Q$15</t>
    <phoneticPr fontId="3"/>
  </si>
  <si>
    <t>Const</t>
    <phoneticPr fontId="3"/>
  </si>
  <si>
    <t>f4g_test_test</t>
  </si>
  <si>
    <t>0</t>
    <phoneticPr fontId="3"/>
  </si>
  <si>
    <t>255</t>
    <phoneticPr fontId="3"/>
  </si>
  <si>
    <t>(部品CSWは後でANDで追加されます)</t>
    <rPh sb="1" eb="3">
      <t>ブヒン</t>
    </rPh>
    <rPh sb="7" eb="8">
      <t>アト</t>
    </rPh>
    <rPh sb="13" eb="15">
      <t>ツイカ</t>
    </rPh>
    <phoneticPr fontId="3"/>
  </si>
  <si>
    <t>推奨初期設定</t>
    <rPh sb="0" eb="2">
      <t>スイショウ</t>
    </rPh>
    <rPh sb="2" eb="4">
      <t>ショキ</t>
    </rPh>
    <rPh sb="4" eb="6">
      <t>セッテイ</t>
    </rPh>
    <phoneticPr fontId="3"/>
  </si>
  <si>
    <t>バージョン</t>
    <phoneticPr fontId="3"/>
  </si>
  <si>
    <t>月日</t>
    <rPh sb="0" eb="2">
      <t>ツキヒ</t>
    </rPh>
    <phoneticPr fontId="3"/>
  </si>
  <si>
    <t>定数mファイル名：</t>
    <rPh sb="0" eb="2">
      <t>ジョウスウ</t>
    </rPh>
    <rPh sb="7" eb="8">
      <t>メイ</t>
    </rPh>
    <phoneticPr fontId="3"/>
  </si>
  <si>
    <t>変更元定数mファイル名：</t>
    <rPh sb="0" eb="2">
      <t>ヘンコウ</t>
    </rPh>
    <rPh sb="2" eb="3">
      <t>モト</t>
    </rPh>
    <rPh sb="3" eb="5">
      <t>ジョウスウ</t>
    </rPh>
    <rPh sb="10" eb="11">
      <t>メイ</t>
    </rPh>
    <phoneticPr fontId="3"/>
  </si>
  <si>
    <t>定数抽出日時：</t>
    <rPh sb="0" eb="2">
      <t>ジョウスウ</t>
    </rPh>
    <rPh sb="2" eb="4">
      <t>チュウシュツ</t>
    </rPh>
    <rPh sb="4" eb="6">
      <t>ニチジ</t>
    </rPh>
    <phoneticPr fontId="3"/>
  </si>
  <si>
    <t>モデル更新日時：</t>
    <rPh sb="3" eb="5">
      <t>コウシン</t>
    </rPh>
    <rPh sb="5" eb="7">
      <t>ニチジ</t>
    </rPh>
    <phoneticPr fontId="3"/>
  </si>
  <si>
    <t>モデルファイル名：</t>
    <rPh sb="7" eb="8">
      <t>メイ</t>
    </rPh>
    <phoneticPr fontId="3"/>
  </si>
  <si>
    <t>モデルVer：</t>
    <phoneticPr fontId="3"/>
  </si>
  <si>
    <t>●ツール変更履歴</t>
    <rPh sb="4" eb="6">
      <t>ヘンコウ</t>
    </rPh>
    <rPh sb="6" eb="8">
      <t>リレキ</t>
    </rPh>
    <phoneticPr fontId="3"/>
  </si>
  <si>
    <t>※行挿入で1番上を最新Ver情報としていく事(ツールでのVer取得効率化)</t>
    <rPh sb="1" eb="2">
      <t>ギョウ</t>
    </rPh>
    <rPh sb="2" eb="4">
      <t>ソウニュウ</t>
    </rPh>
    <rPh sb="6" eb="7">
      <t>バン</t>
    </rPh>
    <rPh sb="7" eb="8">
      <t>ウエ</t>
    </rPh>
    <rPh sb="9" eb="11">
      <t>サイシン</t>
    </rPh>
    <rPh sb="14" eb="16">
      <t>ジョウホウ</t>
    </rPh>
    <rPh sb="21" eb="22">
      <t>コト</t>
    </rPh>
    <rPh sb="31" eb="33">
      <t>シュトク</t>
    </rPh>
    <rPh sb="33" eb="36">
      <t>コウリツカ</t>
    </rPh>
    <phoneticPr fontId="3"/>
  </si>
  <si>
    <t>変更前・紐付き定数情報</t>
    <rPh sb="0" eb="2">
      <t>ヘンコウ</t>
    </rPh>
    <rPh sb="2" eb="3">
      <t>マエ</t>
    </rPh>
    <rPh sb="4" eb="5">
      <t>ヒモ</t>
    </rPh>
    <rPh sb="5" eb="6">
      <t>ヅ</t>
    </rPh>
    <rPh sb="7" eb="9">
      <t>ジョウスウ</t>
    </rPh>
    <rPh sb="9" eb="11">
      <t>ジョウホウ</t>
    </rPh>
    <phoneticPr fontId="3"/>
  </si>
  <si>
    <t>変更前・紐付き定数名</t>
    <rPh sb="0" eb="2">
      <t>ヘンコウ</t>
    </rPh>
    <rPh sb="2" eb="3">
      <t>マエ</t>
    </rPh>
    <rPh sb="4" eb="5">
      <t>ヒモ</t>
    </rPh>
    <rPh sb="5" eb="6">
      <t>ヅ</t>
    </rPh>
    <rPh sb="7" eb="9">
      <t>ジョウスウ</t>
    </rPh>
    <rPh sb="9" eb="10">
      <t>メイ</t>
    </rPh>
    <phoneticPr fontId="3"/>
  </si>
  <si>
    <t>機能(On/Off選択出来るように判り易く)</t>
    <rPh sb="0" eb="2">
      <t>キノウ</t>
    </rPh>
    <rPh sb="9" eb="11">
      <t>センタク</t>
    </rPh>
    <rPh sb="11" eb="13">
      <t>デキ</t>
    </rPh>
    <rPh sb="17" eb="18">
      <t>ワカ</t>
    </rPh>
    <rPh sb="19" eb="20">
      <t>ヤス</t>
    </rPh>
    <phoneticPr fontId="3"/>
  </si>
  <si>
    <t>1.0</t>
    <phoneticPr fontId="3"/>
  </si>
  <si>
    <t>運用開始</t>
    <rPh sb="0" eb="2">
      <t>ウンヨウ</t>
    </rPh>
    <rPh sb="2" eb="4">
      <t>カイシ</t>
    </rPh>
    <phoneticPr fontId="3"/>
  </si>
  <si>
    <r>
      <t>※最終行は使わずに</t>
    </r>
    <r>
      <rPr>
        <b/>
        <sz val="11"/>
        <color rgb="FFFF0000"/>
        <rFont val="游ゴシック"/>
        <family val="3"/>
        <charset val="128"/>
        <scheme val="minor"/>
      </rPr>
      <t>左のボタンで行挿入</t>
    </r>
    <r>
      <rPr>
        <sz val="11"/>
        <color theme="1"/>
        <rFont val="游ゴシック"/>
        <family val="2"/>
        <charset val="128"/>
        <scheme val="minor"/>
      </rPr>
      <t>してください。 削除は行単位で通常のエクセル操作で実施。</t>
    </r>
    <rPh sb="1" eb="4">
      <t>サイシュウギョウ</t>
    </rPh>
    <rPh sb="5" eb="6">
      <t>ツカ</t>
    </rPh>
    <rPh sb="9" eb="10">
      <t>ヒダリ</t>
    </rPh>
    <rPh sb="15" eb="16">
      <t>ギョウ</t>
    </rPh>
    <rPh sb="16" eb="18">
      <t>ソウニュウ</t>
    </rPh>
    <rPh sb="26" eb="28">
      <t>サクジョ</t>
    </rPh>
    <rPh sb="29" eb="32">
      <t>ギョウタンイ</t>
    </rPh>
    <rPh sb="33" eb="35">
      <t>ツウジョウ</t>
    </rPh>
    <rPh sb="40" eb="42">
      <t>ソウサ</t>
    </rPh>
    <rPh sb="43" eb="45">
      <t>ジッシ</t>
    </rPh>
    <phoneticPr fontId="3"/>
  </si>
  <si>
    <r>
      <t>定数→MAP化⇒ 『(</t>
    </r>
    <r>
      <rPr>
        <sz val="11"/>
        <color rgb="FFFF0000"/>
        <rFont val="游ゴシック"/>
        <family val="3"/>
        <charset val="128"/>
        <scheme val="minor"/>
      </rPr>
      <t>x</t>
    </r>
    <r>
      <rPr>
        <sz val="11"/>
        <color theme="1"/>
        <rFont val="游ゴシック"/>
        <family val="2"/>
        <charset val="128"/>
        <scheme val="minor"/>
      </rPr>
      <t>)』  (＝</t>
    </r>
    <r>
      <rPr>
        <sz val="11"/>
        <color rgb="FFFF0000"/>
        <rFont val="游ゴシック"/>
        <family val="3"/>
        <charset val="128"/>
        <scheme val="minor"/>
      </rPr>
      <t>x</t>
    </r>
    <r>
      <rPr>
        <sz val="11"/>
        <color theme="1"/>
        <rFont val="游ゴシック"/>
        <family val="2"/>
        <charset val="128"/>
        <scheme val="minor"/>
      </rPr>
      <t>軸方向補間の指示)</t>
    </r>
    <rPh sb="0" eb="2">
      <t>ジョウスウ</t>
    </rPh>
    <rPh sb="6" eb="7">
      <t>カ</t>
    </rPh>
    <rPh sb="19" eb="20">
      <t>ジク</t>
    </rPh>
    <rPh sb="20" eb="22">
      <t>ホウコウ</t>
    </rPh>
    <rPh sb="22" eb="24">
      <t>ホカン</t>
    </rPh>
    <rPh sb="25" eb="27">
      <t>シジ</t>
    </rPh>
    <phoneticPr fontId="3"/>
  </si>
  <si>
    <t>●MATLABツール情報</t>
    <rPh sb="10" eb="12">
      <t>ジョウホウ</t>
    </rPh>
    <phoneticPr fontId="3"/>
  </si>
  <si>
    <t>抽出プログラム：</t>
    <rPh sb="0" eb="2">
      <t>チュウシュツ</t>
    </rPh>
    <phoneticPr fontId="3"/>
  </si>
  <si>
    <t>●出力モデル情報</t>
    <rPh sb="1" eb="3">
      <t>シュツリョク</t>
    </rPh>
    <rPh sb="6" eb="8">
      <t>ジョウホウ</t>
    </rPh>
    <phoneticPr fontId="3"/>
  </si>
  <si>
    <t>新規定数(新規機能)</t>
    <rPh sb="0" eb="2">
      <t>シンキ</t>
    </rPh>
    <rPh sb="2" eb="4">
      <t>ジョウスウ</t>
    </rPh>
    <rPh sb="5" eb="7">
      <t>シンキ</t>
    </rPh>
    <rPh sb="7" eb="9">
      <t>キノウ</t>
    </rPh>
    <phoneticPr fontId="19"/>
  </si>
  <si>
    <t>CSWを設定して定数分離</t>
    <rPh sb="4" eb="6">
      <t>セッテイ</t>
    </rPh>
    <rPh sb="8" eb="10">
      <t>ジョウスウ</t>
    </rPh>
    <rPh sb="10" eb="12">
      <t>ブンリ</t>
    </rPh>
    <phoneticPr fontId="19"/>
  </si>
  <si>
    <t>定数のMAP化、MAP軸変更</t>
    <rPh sb="0" eb="2">
      <t>ジョウスウ</t>
    </rPh>
    <rPh sb="6" eb="7">
      <t>カ</t>
    </rPh>
    <rPh sb="11" eb="12">
      <t>ジク</t>
    </rPh>
    <rPh sb="12" eb="14">
      <t>ヘンコウ</t>
    </rPh>
    <phoneticPr fontId="19"/>
  </si>
  <si>
    <t>逆数・非逆数化</t>
    <rPh sb="0" eb="2">
      <t>ギャクスウ</t>
    </rPh>
    <rPh sb="3" eb="4">
      <t>ヒ</t>
    </rPh>
    <rPh sb="4" eb="6">
      <t>ギャクスウ</t>
    </rPh>
    <rPh sb="6" eb="7">
      <t>カ</t>
    </rPh>
    <phoneticPr fontId="19"/>
  </si>
  <si>
    <t>単位変更（物理値変更）</t>
    <rPh sb="0" eb="2">
      <t>タンイ</t>
    </rPh>
    <rPh sb="2" eb="4">
      <t>ヘンコウ</t>
    </rPh>
    <rPh sb="5" eb="7">
      <t>ブツリ</t>
    </rPh>
    <rPh sb="7" eb="8">
      <t>チ</t>
    </rPh>
    <rPh sb="8" eb="10">
      <t>ヘンコウ</t>
    </rPh>
    <phoneticPr fontId="19"/>
  </si>
  <si>
    <t>処理周期変更</t>
    <rPh sb="0" eb="2">
      <t>ショリ</t>
    </rPh>
    <rPh sb="2" eb="4">
      <t>シュウキ</t>
    </rPh>
    <rPh sb="4" eb="6">
      <t>ヘンコウ</t>
    </rPh>
    <phoneticPr fontId="19"/>
  </si>
  <si>
    <t>標準値見直し</t>
    <rPh sb="0" eb="2">
      <t>ヒョウジュン</t>
    </rPh>
    <rPh sb="2" eb="3">
      <t>スウチ</t>
    </rPh>
    <rPh sb="3" eb="5">
      <t>ミナオ</t>
    </rPh>
    <phoneticPr fontId="19"/>
  </si>
  <si>
    <t>定数型変更</t>
    <rPh sb="0" eb="2">
      <t>ジョウスウ</t>
    </rPh>
    <rPh sb="2" eb="3">
      <t>カタ</t>
    </rPh>
    <rPh sb="3" eb="5">
      <t>ヘンコウ</t>
    </rPh>
    <phoneticPr fontId="18"/>
  </si>
  <si>
    <t>CSW見直し(機能変化無し)</t>
    <rPh sb="3" eb="5">
      <t>ミナオ</t>
    </rPh>
    <rPh sb="7" eb="8">
      <t>ウ</t>
    </rPh>
    <rPh sb="9" eb="11">
      <t>ヘンカ</t>
    </rPh>
    <rPh sb="11" eb="12">
      <t>ナ</t>
    </rPh>
    <phoneticPr fontId="19"/>
  </si>
  <si>
    <t>定数のMACRO化</t>
    <rPh sb="0" eb="2">
      <t>ジョウスウ</t>
    </rPh>
    <rPh sb="8" eb="9">
      <t>カ</t>
    </rPh>
    <phoneticPr fontId="20"/>
  </si>
  <si>
    <t>標準定数切り分けW/GでDRして確定</t>
    <rPh sb="0" eb="2">
      <t>ヒョウジュン</t>
    </rPh>
    <rPh sb="2" eb="4">
      <t>ジョウスウ</t>
    </rPh>
    <rPh sb="4" eb="5">
      <t>キ</t>
    </rPh>
    <rPh sb="6" eb="7">
      <t>ワ</t>
    </rPh>
    <rPh sb="16" eb="18">
      <t>カクテイ</t>
    </rPh>
    <phoneticPr fontId="3"/>
  </si>
  <si>
    <t>予備(定数W/GのDR等で設計時に不足したｼｽﾃﾑ別(CSW別)の定数設定が必要となった時に使用</t>
    <rPh sb="0" eb="2">
      <t>ヨビ</t>
    </rPh>
    <rPh sb="3" eb="5">
      <t>ジョウスウ</t>
    </rPh>
    <rPh sb="11" eb="12">
      <t>トウ</t>
    </rPh>
    <rPh sb="13" eb="16">
      <t>セッケイジ</t>
    </rPh>
    <rPh sb="17" eb="19">
      <t>フソク</t>
    </rPh>
    <rPh sb="25" eb="26">
      <t>ベツ</t>
    </rPh>
    <rPh sb="30" eb="31">
      <t>ベツ</t>
    </rPh>
    <rPh sb="33" eb="35">
      <t>ジョウスウ</t>
    </rPh>
    <rPh sb="35" eb="37">
      <t>セッテイ</t>
    </rPh>
    <rPh sb="38" eb="40">
      <t>ヒツヨウ</t>
    </rPh>
    <rPh sb="44" eb="45">
      <t>トキ</t>
    </rPh>
    <rPh sb="46" eb="48">
      <t>シヨウ</t>
    </rPh>
    <phoneticPr fontId="3"/>
  </si>
  <si>
    <t>1.01</t>
    <phoneticPr fontId="3"/>
  </si>
  <si>
    <t>CRETA関係式支援の誤記修正</t>
    <rPh sb="5" eb="7">
      <t>カンケイ</t>
    </rPh>
    <rPh sb="7" eb="8">
      <t>シキ</t>
    </rPh>
    <rPh sb="8" eb="10">
      <t>シエン</t>
    </rPh>
    <rPh sb="11" eb="13">
      <t>ゴキ</t>
    </rPh>
    <rPh sb="13" eb="15">
      <t>シュウセイ</t>
    </rPh>
    <phoneticPr fontId="3"/>
  </si>
  <si>
    <t>1.02</t>
    <phoneticPr fontId="3"/>
  </si>
  <si>
    <t>MACRO修正(MATLABからのマクロ実行対応)</t>
    <rPh sb="5" eb="7">
      <t>シュウセイ</t>
    </rPh>
    <rPh sb="20" eb="22">
      <t>ジッコウ</t>
    </rPh>
    <rPh sb="22" eb="24">
      <t>タイオウ</t>
    </rPh>
    <phoneticPr fontId="3"/>
  </si>
  <si>
    <t>1.03</t>
    <phoneticPr fontId="3"/>
  </si>
  <si>
    <t>MACRO修正(CRETA関係式支援  式反映部分)</t>
    <rPh sb="5" eb="7">
      <t>シュウセイ</t>
    </rPh>
    <rPh sb="13" eb="15">
      <t>カンケイ</t>
    </rPh>
    <rPh sb="15" eb="16">
      <t>シキ</t>
    </rPh>
    <rPh sb="16" eb="18">
      <t>シエン</t>
    </rPh>
    <rPh sb="20" eb="21">
      <t>シキ</t>
    </rPh>
    <rPh sb="21" eb="23">
      <t>ハンエイ</t>
    </rPh>
    <rPh sb="23" eb="25">
      <t>ブブン</t>
    </rPh>
    <phoneticPr fontId="3"/>
  </si>
  <si>
    <t>ルール準拠・誤記修正</t>
    <phoneticPr fontId="3"/>
  </si>
  <si>
    <t>1.04</t>
    <phoneticPr fontId="3"/>
  </si>
  <si>
    <t>・「変更内容」ﾘｽﾄに「ルール準拠・誤記修正」追加
・新規定数(新規機能)の時、変換式もｸﾞﾚｰｱｳﾄするように書式修正</t>
    <rPh sb="2" eb="4">
      <t>ヘンコウ</t>
    </rPh>
    <rPh sb="4" eb="6">
      <t>ナイヨウ</t>
    </rPh>
    <rPh sb="23" eb="25">
      <t>ツイカ</t>
    </rPh>
    <rPh sb="27" eb="29">
      <t>シンキ</t>
    </rPh>
    <rPh sb="29" eb="31">
      <t>ジョウスウ</t>
    </rPh>
    <rPh sb="32" eb="34">
      <t>シンキ</t>
    </rPh>
    <rPh sb="34" eb="36">
      <t>キノウ</t>
    </rPh>
    <rPh sb="38" eb="39">
      <t>トキ</t>
    </rPh>
    <rPh sb="40" eb="42">
      <t>ヘンカン</t>
    </rPh>
    <rPh sb="42" eb="43">
      <t>シキ</t>
    </rPh>
    <rPh sb="56" eb="58">
      <t>ショシキ</t>
    </rPh>
    <rPh sb="58" eb="60">
      <t>シュウセイ</t>
    </rPh>
    <phoneticPr fontId="3"/>
  </si>
  <si>
    <r>
      <t>&lt;変換式記入例</t>
    </r>
    <r>
      <rPr>
        <b/>
        <sz val="11"/>
        <color rgb="FFFF0000"/>
        <rFont val="游ゴシック"/>
        <family val="3"/>
        <charset val="128"/>
        <scheme val="minor"/>
      </rPr>
      <t>※ただのﾘﾈｰﾑ時は記入不要(空白)</t>
    </r>
    <r>
      <rPr>
        <b/>
        <sz val="11"/>
        <color theme="1"/>
        <rFont val="游ゴシック"/>
        <family val="3"/>
        <charset val="128"/>
        <scheme val="minor"/>
      </rPr>
      <t>&gt; (『』内が記載方法(元の次元が数字,補間がｱﾙﾌｧﾍﾞｯﾄ)</t>
    </r>
    <rPh sb="1" eb="3">
      <t>ヘンカン</t>
    </rPh>
    <rPh sb="3" eb="4">
      <t>シキ</t>
    </rPh>
    <rPh sb="4" eb="6">
      <t>キニュウ</t>
    </rPh>
    <rPh sb="6" eb="7">
      <t>レイ</t>
    </rPh>
    <rPh sb="15" eb="16">
      <t>ジ</t>
    </rPh>
    <rPh sb="17" eb="19">
      <t>キニュウ</t>
    </rPh>
    <rPh sb="19" eb="21">
      <t>フヨウ</t>
    </rPh>
    <rPh sb="22" eb="24">
      <t>クウハク</t>
    </rPh>
    <rPh sb="30" eb="31">
      <t>ナイ</t>
    </rPh>
    <rPh sb="32" eb="34">
      <t>キサイ</t>
    </rPh>
    <rPh sb="34" eb="36">
      <t>ホウホウ</t>
    </rPh>
    <rPh sb="37" eb="38">
      <t>モト</t>
    </rPh>
    <rPh sb="39" eb="41">
      <t>ジゲン</t>
    </rPh>
    <rPh sb="42" eb="44">
      <t>スウジ</t>
    </rPh>
    <rPh sb="45" eb="47">
      <t>ホカン</t>
    </rPh>
    <phoneticPr fontId="3"/>
  </si>
  <si>
    <t>1.05</t>
    <phoneticPr fontId="3"/>
  </si>
  <si>
    <t>・「定数の役割」欄上の不要な注釈(ﾙｰﾙ)削除
・変化なし、記入不要には「－」記入の追記</t>
    <rPh sb="2" eb="4">
      <t>ジョウスウ</t>
    </rPh>
    <rPh sb="5" eb="7">
      <t>ヤクワリ</t>
    </rPh>
    <rPh sb="8" eb="9">
      <t>ラン</t>
    </rPh>
    <rPh sb="9" eb="10">
      <t>ウエ</t>
    </rPh>
    <rPh sb="11" eb="13">
      <t>フヨウ</t>
    </rPh>
    <rPh sb="14" eb="16">
      <t>チュウシャク</t>
    </rPh>
    <rPh sb="21" eb="23">
      <t>サクジョ</t>
    </rPh>
    <rPh sb="25" eb="27">
      <t>ヘンカ</t>
    </rPh>
    <rPh sb="30" eb="32">
      <t>キニュウ</t>
    </rPh>
    <rPh sb="32" eb="34">
      <t>フヨウ</t>
    </rPh>
    <rPh sb="39" eb="41">
      <t>キニュウ</t>
    </rPh>
    <rPh sb="42" eb="44">
      <t>ツイキ</t>
    </rPh>
    <phoneticPr fontId="3"/>
  </si>
  <si>
    <t>1.06</t>
    <phoneticPr fontId="3"/>
  </si>
  <si>
    <t>・定数の自動ソートマクロ修正
・機能カット定数の不要時も「－」記入の例に変更</t>
    <rPh sb="1" eb="3">
      <t>ジョウスウ</t>
    </rPh>
    <rPh sb="4" eb="6">
      <t>ジドウ</t>
    </rPh>
    <rPh sb="12" eb="14">
      <t>シュウセイ</t>
    </rPh>
    <rPh sb="16" eb="18">
      <t>キノウ</t>
    </rPh>
    <rPh sb="21" eb="23">
      <t>ジョウスウ</t>
    </rPh>
    <rPh sb="24" eb="26">
      <t>フヨウ</t>
    </rPh>
    <rPh sb="26" eb="27">
      <t>ジ</t>
    </rPh>
    <rPh sb="31" eb="33">
      <t>キニュウ</t>
    </rPh>
    <rPh sb="34" eb="35">
      <t>レイ</t>
    </rPh>
    <rPh sb="36" eb="38">
      <t>ヘンコウ</t>
    </rPh>
    <phoneticPr fontId="3"/>
  </si>
  <si>
    <t>機能カット定数 (無効化出来ない/しなくて問題無い機能は定数名に「－」記入)</t>
    <rPh sb="0" eb="2">
      <t>キノウ</t>
    </rPh>
    <rPh sb="5" eb="7">
      <t>ジョウスウ</t>
    </rPh>
    <rPh sb="9" eb="12">
      <t>ムコウカ</t>
    </rPh>
    <rPh sb="12" eb="14">
      <t>デキ</t>
    </rPh>
    <rPh sb="21" eb="23">
      <t>モンダイ</t>
    </rPh>
    <rPh sb="23" eb="24">
      <t>ナ</t>
    </rPh>
    <rPh sb="25" eb="27">
      <t>キノウ</t>
    </rPh>
    <rPh sb="28" eb="30">
      <t>ジョウスウ</t>
    </rPh>
    <rPh sb="30" eb="31">
      <t>メイ</t>
    </rPh>
    <rPh sb="35" eb="37">
      <t>キニュウ</t>
    </rPh>
    <phoneticPr fontId="3"/>
  </si>
  <si>
    <t>※部品前の項番を確認してください</t>
    <rPh sb="1" eb="3">
      <t>ブヒン</t>
    </rPh>
    <rPh sb="3" eb="4">
      <t>マエ</t>
    </rPh>
    <rPh sb="5" eb="7">
      <t>コウバン</t>
    </rPh>
    <rPh sb="8" eb="10">
      <t>カクニン</t>
    </rPh>
    <phoneticPr fontId="3"/>
  </si>
  <si>
    <t>1.07</t>
    <phoneticPr fontId="3"/>
  </si>
  <si>
    <t>・「－」の選択肢をリストに追加
・「定数管理エクセル」保管場所(SPO)へのリンクボタン追加</t>
    <rPh sb="5" eb="8">
      <t>センタクシ</t>
    </rPh>
    <rPh sb="13" eb="15">
      <t>ツイカ</t>
    </rPh>
    <rPh sb="18" eb="20">
      <t>ジョウスウ</t>
    </rPh>
    <rPh sb="20" eb="22">
      <t>カンリ</t>
    </rPh>
    <rPh sb="27" eb="29">
      <t>ホカン</t>
    </rPh>
    <rPh sb="29" eb="31">
      <t>バショ</t>
    </rPh>
    <rPh sb="44" eb="46">
      <t>ツイカ</t>
    </rPh>
    <phoneticPr fontId="3"/>
  </si>
  <si>
    <t>－</t>
    <phoneticPr fontId="3"/>
  </si>
  <si>
    <t>※ディレクトリ情報を確認してください(要番号)</t>
    <rPh sb="7" eb="9">
      <t>ジョウホウ</t>
    </rPh>
    <rPh sb="10" eb="12">
      <t>カクニン</t>
    </rPh>
    <rPh sb="19" eb="20">
      <t>ヨウ</t>
    </rPh>
    <rPh sb="20" eb="21">
      <t>バン</t>
    </rPh>
    <phoneticPr fontId="3"/>
  </si>
  <si>
    <t>1.08</t>
    <phoneticPr fontId="3"/>
  </si>
  <si>
    <t>レンジ変更</t>
    <rPh sb="3" eb="5">
      <t>ヘンコウ</t>
    </rPh>
    <phoneticPr fontId="3"/>
  </si>
  <si>
    <t>・変更内容のリストに「レンジ変更」を追加</t>
    <rPh sb="1" eb="3">
      <t>ヘンコウ</t>
    </rPh>
    <rPh sb="3" eb="5">
      <t>ナイヨウ</t>
    </rPh>
    <rPh sb="14" eb="16">
      <t>ヘンコウ</t>
    </rPh>
    <rPh sb="18" eb="20">
      <t>ツイカ</t>
    </rPh>
    <phoneticPr fontId="3"/>
  </si>
  <si>
    <t>1.09</t>
    <phoneticPr fontId="3"/>
  </si>
  <si>
    <t>・機能カット部、雛形1行目に入ってた「＝」削除
・機能カット定数にコメント追加(親定数記入の誘導)</t>
    <rPh sb="1" eb="3">
      <t>キノウ</t>
    </rPh>
    <rPh sb="6" eb="7">
      <t>ブ</t>
    </rPh>
    <rPh sb="8" eb="10">
      <t>ヒナガタ</t>
    </rPh>
    <rPh sb="11" eb="13">
      <t>ギョウメ</t>
    </rPh>
    <rPh sb="14" eb="15">
      <t>ハイ</t>
    </rPh>
    <rPh sb="21" eb="23">
      <t>サクジョ</t>
    </rPh>
    <rPh sb="25" eb="27">
      <t>キノウ</t>
    </rPh>
    <rPh sb="30" eb="32">
      <t>ジョウスウ</t>
    </rPh>
    <rPh sb="37" eb="39">
      <t>ツイカ</t>
    </rPh>
    <rPh sb="40" eb="41">
      <t>オヤ</t>
    </rPh>
    <rPh sb="41" eb="43">
      <t>ジョウスウ</t>
    </rPh>
    <rPh sb="43" eb="45">
      <t>キニュウ</t>
    </rPh>
    <rPh sb="46" eb="48">
      <t>ユウドウ</t>
    </rPh>
    <phoneticPr fontId="3"/>
  </si>
  <si>
    <t>1.10</t>
    <phoneticPr fontId="3"/>
  </si>
  <si>
    <t>１．機能一覧表</t>
    <rPh sb="2" eb="4">
      <t>キノウ</t>
    </rPh>
    <rPh sb="4" eb="6">
      <t>イチラン</t>
    </rPh>
    <rPh sb="6" eb="7">
      <t>ヒョウ</t>
    </rPh>
    <phoneticPr fontId="3"/>
  </si>
  <si>
    <t>２．定数一覧表</t>
    <rPh sb="2" eb="4">
      <t>ジョウスウ</t>
    </rPh>
    <rPh sb="4" eb="6">
      <t>イチラン</t>
    </rPh>
    <rPh sb="6" eb="7">
      <t>ヒョウ</t>
    </rPh>
    <phoneticPr fontId="3"/>
  </si>
  <si>
    <t>新DR</t>
  </si>
  <si>
    <t>・定数一覧シートの各表に名前(１．機能一覧表、２．定数一覧表)追加</t>
    <rPh sb="1" eb="3">
      <t>ジョウスウ</t>
    </rPh>
    <rPh sb="3" eb="5">
      <t>イチラン</t>
    </rPh>
    <rPh sb="9" eb="11">
      <t>カクヒョウ</t>
    </rPh>
    <rPh sb="12" eb="14">
      <t>ナマエ</t>
    </rPh>
    <rPh sb="17" eb="19">
      <t>キノウ</t>
    </rPh>
    <rPh sb="19" eb="21">
      <t>イチラン</t>
    </rPh>
    <rPh sb="21" eb="22">
      <t>ヒョウ</t>
    </rPh>
    <rPh sb="25" eb="27">
      <t>ジョウスウ</t>
    </rPh>
    <rPh sb="27" eb="29">
      <t>イチラン</t>
    </rPh>
    <rPh sb="29" eb="30">
      <t>ヒョウ</t>
    </rPh>
    <rPh sb="31" eb="33">
      <t>ツイカ</t>
    </rPh>
    <phoneticPr fontId="3"/>
  </si>
  <si>
    <t>Priority Value</t>
  </si>
  <si>
    <t>新規定数(機能の拡張・再配置)</t>
    <rPh sb="0" eb="2">
      <t>シンキ</t>
    </rPh>
    <rPh sb="2" eb="4">
      <t>ジョウスウ</t>
    </rPh>
    <rPh sb="5" eb="7">
      <t>キノウ</t>
    </rPh>
    <rPh sb="8" eb="10">
      <t>カクチョウ</t>
    </rPh>
    <rPh sb="11" eb="14">
      <t>サイハイチ</t>
    </rPh>
    <phoneticPr fontId="19"/>
  </si>
  <si>
    <t>複数に跨る時：「リスト」ｼｰﾄのF列に候補を追加して下さい。</t>
    <rPh sb="0" eb="2">
      <t>フクスウ</t>
    </rPh>
    <rPh sb="3" eb="4">
      <t>マタガ</t>
    </rPh>
    <rPh sb="5" eb="6">
      <t>ジ</t>
    </rPh>
    <rPh sb="17" eb="18">
      <t>レツ</t>
    </rPh>
    <rPh sb="19" eb="21">
      <t>コウホ</t>
    </rPh>
    <rPh sb="22" eb="24">
      <t>ツイカ</t>
    </rPh>
    <rPh sb="26" eb="27">
      <t>クダ</t>
    </rPh>
    <phoneticPr fontId="3"/>
  </si>
  <si>
    <t>・1定数に複数の項番付与に対応。
・機能ｶｯﾄ条件の符号「y軸方向同値」の誤記修正</t>
    <rPh sb="2" eb="4">
      <t>ジョウスウ</t>
    </rPh>
    <rPh sb="5" eb="7">
      <t>フクスウ</t>
    </rPh>
    <rPh sb="8" eb="10">
      <t>コウバン</t>
    </rPh>
    <rPh sb="10" eb="12">
      <t>フヨ</t>
    </rPh>
    <rPh sb="13" eb="15">
      <t>タイオウ</t>
    </rPh>
    <rPh sb="18" eb="20">
      <t>キノウ</t>
    </rPh>
    <rPh sb="23" eb="25">
      <t>ジョウケン</t>
    </rPh>
    <rPh sb="26" eb="28">
      <t>フゴウ</t>
    </rPh>
    <rPh sb="30" eb="31">
      <t>ジク</t>
    </rPh>
    <rPh sb="31" eb="33">
      <t>ホウコウ</t>
    </rPh>
    <rPh sb="33" eb="35">
      <t>ドウチ</t>
    </rPh>
    <rPh sb="37" eb="39">
      <t>ゴキ</t>
    </rPh>
    <rPh sb="39" eb="41">
      <t>シュウセイ</t>
    </rPh>
    <phoneticPr fontId="3"/>
  </si>
  <si>
    <t>「,&lt;改行&gt;」＝「,」と”ALT+ENTER”
36行目以降の黄色部分に記入</t>
    <rPh sb="3" eb="5">
      <t>カイギョウ</t>
    </rPh>
    <rPh sb="26" eb="28">
      <t>ギョウメ</t>
    </rPh>
    <rPh sb="28" eb="30">
      <t>イコウ</t>
    </rPh>
    <rPh sb="31" eb="33">
      <t>キイロ</t>
    </rPh>
    <rPh sb="33" eb="35">
      <t>ブブン</t>
    </rPh>
    <rPh sb="36" eb="38">
      <t>キニュウ</t>
    </rPh>
    <phoneticPr fontId="3"/>
  </si>
  <si>
    <r>
      <rPr>
        <b/>
        <sz val="11"/>
        <color theme="1"/>
        <rFont val="游ゴシック"/>
        <family val="3"/>
        <charset val="128"/>
        <scheme val="minor"/>
      </rPr>
      <t>例 (「,&lt;改行&gt;」で区切って記入)：</t>
    </r>
    <r>
      <rPr>
        <sz val="11"/>
        <color theme="1"/>
        <rFont val="游ゴシック"/>
        <family val="2"/>
        <charset val="128"/>
        <scheme val="minor"/>
      </rPr>
      <t xml:space="preserve">
(2)-1,
(2)-2</t>
    </r>
    <rPh sb="0" eb="1">
      <t>レイ</t>
    </rPh>
    <phoneticPr fontId="3"/>
  </si>
  <si>
    <t>新規</t>
  </si>
  <si>
    <t>2.01</t>
    <phoneticPr fontId="3"/>
  </si>
  <si>
    <t>2.00</t>
    <phoneticPr fontId="3"/>
  </si>
  <si>
    <t>・「表示」「状態」「項番」が未記入時に強調(黄色塗潰し)
・「状態」「定数タイプ」にリストを追加
・「自動ソート」のマクロ修正
　　(「,」で区切られた項番は1個目の項番位置でｿｰﾄ)</t>
    <rPh sb="2" eb="4">
      <t>ヒョウジ</t>
    </rPh>
    <rPh sb="6" eb="8">
      <t>ジョウタイ</t>
    </rPh>
    <rPh sb="10" eb="12">
      <t>コウバン</t>
    </rPh>
    <rPh sb="14" eb="17">
      <t>ミキニュウ</t>
    </rPh>
    <rPh sb="17" eb="18">
      <t>ジ</t>
    </rPh>
    <rPh sb="19" eb="21">
      <t>キョウチョウ</t>
    </rPh>
    <rPh sb="22" eb="24">
      <t>キイロ</t>
    </rPh>
    <rPh sb="24" eb="26">
      <t>ヌリツブ</t>
    </rPh>
    <rPh sb="31" eb="33">
      <t>ジョウタイ</t>
    </rPh>
    <rPh sb="35" eb="37">
      <t>ジョウスウ</t>
    </rPh>
    <rPh sb="46" eb="48">
      <t>ツイカ</t>
    </rPh>
    <phoneticPr fontId="3"/>
  </si>
  <si>
    <t>2.02</t>
    <phoneticPr fontId="3"/>
  </si>
  <si>
    <t>・「状態」から「変更：型」を削除
　（型変更時、 削除と新規になるため） (削除のセルに色付け追加)</t>
    <rPh sb="2" eb="4">
      <t>ジョウタイ</t>
    </rPh>
    <rPh sb="14" eb="16">
      <t>サクジョ</t>
    </rPh>
    <rPh sb="19" eb="20">
      <t>カタ</t>
    </rPh>
    <rPh sb="20" eb="22">
      <t>ヘンコウ</t>
    </rPh>
    <rPh sb="22" eb="23">
      <t>ジ</t>
    </rPh>
    <rPh sb="25" eb="27">
      <t>サクジョ</t>
    </rPh>
    <rPh sb="28" eb="30">
      <t>シンキ</t>
    </rPh>
    <rPh sb="38" eb="40">
      <t>サクジョ</t>
    </rPh>
    <rPh sb="44" eb="45">
      <t>イロ</t>
    </rPh>
    <rPh sb="45" eb="46">
      <t>ヅ</t>
    </rPh>
    <rPh sb="47" eb="49">
      <t>ツイカ</t>
    </rPh>
    <phoneticPr fontId="3"/>
  </si>
  <si>
    <t>EPF5-3城戸</t>
    <rPh sb="6" eb="8">
      <t>キド</t>
    </rPh>
    <phoneticPr fontId="3"/>
  </si>
  <si>
    <t>(1)</t>
  </si>
  <si>
    <t>(1)</t>
    <phoneticPr fontId="3"/>
  </si>
  <si>
    <t>機能</t>
  </si>
  <si>
    <t>11eminj-acw-16-a-t</t>
    <phoneticPr fontId="3"/>
  </si>
  <si>
    <t>70eactmedi/41einj</t>
    <phoneticPr fontId="3"/>
  </si>
  <si>
    <t>(2)</t>
  </si>
  <si>
    <t>(2)</t>
    <phoneticPr fontId="3"/>
  </si>
  <si>
    <t>(3)</t>
  </si>
  <si>
    <t>(3)</t>
    <phoneticPr fontId="3"/>
  </si>
  <si>
    <t>(4)</t>
  </si>
  <si>
    <t>(4)</t>
    <phoneticPr fontId="3"/>
  </si>
  <si>
    <t>(5)</t>
  </si>
  <si>
    <t>(5)</t>
    <phoneticPr fontId="3"/>
  </si>
  <si>
    <t>(6)①</t>
  </si>
  <si>
    <t>(6)①</t>
    <phoneticPr fontId="3"/>
  </si>
  <si>
    <t>(6)②</t>
    <phoneticPr fontId="3"/>
  </si>
  <si>
    <t>気筒別噴射量補正対応</t>
    <phoneticPr fontId="3"/>
  </si>
  <si>
    <t>SJC圧縮行程固定噴射対応</t>
    <phoneticPr fontId="3"/>
  </si>
  <si>
    <t>ecimpalcの噴射要求追加</t>
    <phoneticPr fontId="3"/>
  </si>
  <si>
    <t>erdpn部品全体CSW変更対応</t>
    <phoneticPr fontId="3"/>
  </si>
  <si>
    <t>ゴロゴロ音対策個別仕様の標準化</t>
    <phoneticPr fontId="3"/>
  </si>
  <si>
    <t>IF整合</t>
    <phoneticPr fontId="3"/>
  </si>
  <si>
    <t>可読性向上</t>
    <phoneticPr fontId="3"/>
  </si>
  <si>
    <t>-</t>
    <phoneticPr fontId="3"/>
  </si>
  <si>
    <t>u1g_EMINJ_STEPKCYL_VD</t>
    <phoneticPr fontId="3"/>
  </si>
  <si>
    <t>s2g_EMINJ_KQCYL_VD</t>
    <phoneticPr fontId="3"/>
  </si>
  <si>
    <t>s2s_EMINJ_KQCYL_MN</t>
    <phoneticPr fontId="3"/>
  </si>
  <si>
    <t>s2s_EMINJ_KQCYL_MX</t>
    <phoneticPr fontId="3"/>
  </si>
  <si>
    <t>気筒別噴射量補正段無効値</t>
    <phoneticPr fontId="3"/>
  </si>
  <si>
    <t>気筒別噴射量補正係数無効値</t>
    <phoneticPr fontId="3"/>
  </si>
  <si>
    <t>気筒別噴射量補正係数下限値</t>
    <phoneticPr fontId="3"/>
  </si>
  <si>
    <t>気筒別噴射量補正係数上限値</t>
    <phoneticPr fontId="3"/>
  </si>
  <si>
    <t>倍</t>
    <phoneticPr fontId="3"/>
  </si>
  <si>
    <t>0b11111111</t>
    <phoneticPr fontId="3"/>
  </si>
  <si>
    <t>VALUE</t>
  </si>
  <si>
    <t>u4g_EMINJ_RQSTEPKCYL</t>
    <phoneticPr fontId="3"/>
  </si>
  <si>
    <t>u4g_EMINJ_RQKQCYL</t>
    <phoneticPr fontId="3"/>
  </si>
  <si>
    <t>気筒別噴射量補正段要求有</t>
    <phoneticPr fontId="3"/>
  </si>
  <si>
    <t>気筒別噴射量補正係数要求有</t>
    <phoneticPr fontId="3"/>
  </si>
  <si>
    <t>0x00004000</t>
    <phoneticPr fontId="3"/>
  </si>
  <si>
    <t>0x00008000</t>
    <phoneticPr fontId="3"/>
  </si>
  <si>
    <t>u1g_EMINJ_STEPKCYL1</t>
    <phoneticPr fontId="3"/>
  </si>
  <si>
    <t>u1g_EMINJ_STEPKCYL2</t>
  </si>
  <si>
    <t>u1g_EMINJ_STEPKCYL3</t>
  </si>
  <si>
    <t>u1g_EMINJ_STEPKCYL4</t>
  </si>
  <si>
    <t>u1g_EMINJ_STEPKCYL5</t>
  </si>
  <si>
    <t>u1g_EMINJ_STEPKCYL6</t>
  </si>
  <si>
    <t>u1g_EMINJ_STEPKCYL7</t>
  </si>
  <si>
    <t>u1g_EMINJ_STEPKCYL8</t>
  </si>
  <si>
    <t>気筒別噴射量補正段（1段目）</t>
    <phoneticPr fontId="3"/>
  </si>
  <si>
    <t>気筒別噴射量補正段（2段目）</t>
  </si>
  <si>
    <t>気筒別噴射量補正段（3段目）</t>
  </si>
  <si>
    <t>気筒別噴射量補正段（4段目）</t>
  </si>
  <si>
    <t>気筒別噴射量補正段（5段目）</t>
  </si>
  <si>
    <t>気筒別噴射量補正段（6段目）</t>
  </si>
  <si>
    <t>気筒別噴射量補正段（7段目）</t>
  </si>
  <si>
    <t>気筒別噴射量補正段（8段目）</t>
  </si>
  <si>
    <t>0b10000000</t>
    <phoneticPr fontId="3"/>
  </si>
  <si>
    <t>0b01000000</t>
  </si>
  <si>
    <t>0b00100000</t>
    <phoneticPr fontId="3"/>
  </si>
  <si>
    <t>0b00010000</t>
    <phoneticPr fontId="3"/>
  </si>
  <si>
    <t>0b00001000</t>
    <phoneticPr fontId="3"/>
  </si>
  <si>
    <t>0b00000100</t>
    <phoneticPr fontId="3"/>
  </si>
  <si>
    <t>0b00000010</t>
    <phoneticPr fontId="3"/>
  </si>
  <si>
    <t>0b00000001</t>
    <phoneticPr fontId="3"/>
  </si>
  <si>
    <t>変更：定数</t>
  </si>
  <si>
    <t>u4g_EMINJ_INJPTN_VD</t>
    <phoneticPr fontId="3"/>
  </si>
  <si>
    <t>噴射ﾊﾟﾀｰﾝ無効値</t>
    <phoneticPr fontId="3"/>
  </si>
  <si>
    <t>0x00000000</t>
    <phoneticPr fontId="3"/>
  </si>
  <si>
    <t>1段目噴射へ気筒別噴射量補正する場合の指示値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</si>
  <si>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2段目噴射へ気筒別噴射量補正する場合の指示値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</si>
  <si>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3段目噴射へ気筒別噴射量補正する場合の指示値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</si>
  <si>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4段目噴射へ気筒別噴射量補正する場合の指示値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</si>
  <si>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5段目噴射へ気筒別噴射量補正する場合の指示値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</si>
  <si>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6段目噴射へ気筒別噴射量補正する場合の指示値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</si>
  <si>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7段目噴射へ気筒別噴射量補正する場合の指示値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</si>
  <si>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8段目噴射へ気筒別噴射量補正する場合の指示値</t>
    <rPh sb="1" eb="3">
      <t>ダンメ</t>
    </rPh>
    <rPh sb="3" eb="5">
      <t>フンシャ</t>
    </rPh>
    <rPh sb="6" eb="9">
      <t>キトウベツ</t>
    </rPh>
    <rPh sb="9" eb="12">
      <t>フンシャリョウ</t>
    </rPh>
    <rPh sb="12" eb="14">
      <t>ホセイ</t>
    </rPh>
    <rPh sb="16" eb="18">
      <t>バアイ</t>
    </rPh>
    <rPh sb="19" eb="21">
      <t>シジ</t>
    </rPh>
    <rPh sb="21" eb="22">
      <t>チ</t>
    </rPh>
    <phoneticPr fontId="3"/>
  </si>
  <si>
    <t>変更：CSW</t>
  </si>
  <si>
    <t>u1g_eminj_BINJPLCTR_WC_PRI</t>
    <phoneticPr fontId="3"/>
  </si>
  <si>
    <t>ﾊﾟｰｼｬﾙﾘﾌﾄ噴射を用いた基本噴射制御(触媒暖機時)の優先度</t>
    <phoneticPr fontId="3"/>
  </si>
  <si>
    <t>(JEALLHV_E == u1g_EJCC_ALLHV_E) &amp;&amp; (JEPLMLT_E == u1g_EJCC_USE)</t>
    <phoneticPr fontId="3"/>
  </si>
  <si>
    <t>【ALL HV】AND【PLﾏﾙﾁ噴射有】</t>
    <phoneticPr fontId="3"/>
  </si>
  <si>
    <t>u1g_eminj_FCFRCTRL_PRI</t>
    <phoneticPr fontId="3"/>
  </si>
  <si>
    <t>1気筒FC制御の優先度</t>
    <phoneticPr fontId="3"/>
  </si>
  <si>
    <t>【GPF有】</t>
    <phoneticPr fontId="3"/>
  </si>
  <si>
    <t>JENGPF_E ~= u1g_EJCC_NOT_USE</t>
    <phoneticPr fontId="3"/>
  </si>
  <si>
    <t>u1g_eminj_STACM_PRI</t>
    <phoneticPr fontId="3"/>
  </si>
  <si>
    <t>(【ﾘﾓｰﾄｺﾝﾄﾛｰﾙ有】OR【ﾅﾋﾞｺﾝﾄﾛｰﾙ有】)AND【SUB-CPU以外】</t>
    <phoneticPr fontId="3"/>
  </si>
  <si>
    <t>始動時吹け上がり制御の優先度</t>
    <phoneticPr fontId="3"/>
  </si>
  <si>
    <t>((JERMTCTR == u1g_EJCC_USE) || (JENVCTR == u1g_EJCC_USE)) &amp;&amp; (JEMICN_E ~= u1g_EJCC_SUB_E)</t>
    <phoneticPr fontId="3"/>
  </si>
  <si>
    <t>u1g_eminj_RDPN_ST_PRI</t>
    <phoneticPr fontId="3"/>
  </si>
  <si>
    <t>PN低減制御(始動時)の優先度</t>
    <phoneticPr fontId="3"/>
  </si>
  <si>
    <t>JEEFI == u1g_EJCC_PORT</t>
    <phoneticPr fontId="3"/>
  </si>
  <si>
    <t>【ﾎﾟｰﾄ】</t>
    <phoneticPr fontId="3"/>
  </si>
  <si>
    <t>u1g_eminj_STRATIST_PRI</t>
    <phoneticPr fontId="3"/>
  </si>
  <si>
    <t>成層始動制御の優先度</t>
    <phoneticPr fontId="3"/>
  </si>
  <si>
    <t>(JEEFI == u1g_EJCC_DUAL) || (JEEFI == u1g_EJCC_D4)</t>
    <phoneticPr fontId="3"/>
  </si>
  <si>
    <t>【ﾃﾞｭｱﾙINJ】OR【D-4】</t>
    <phoneticPr fontId="3"/>
  </si>
  <si>
    <t>u1g_eminj_STAFRG_PRI</t>
    <phoneticPr fontId="3"/>
  </si>
  <si>
    <t>極低温始動制御の優先度</t>
    <phoneticPr fontId="3"/>
  </si>
  <si>
    <t>JEEFI == u1g_EJCC_DUAL</t>
    <phoneticPr fontId="3"/>
  </si>
  <si>
    <t>【ﾃﾞｭｱﾙINJ】</t>
    <phoneticPr fontId="3"/>
  </si>
  <si>
    <t>u1g_eminj_STAHV_PRI</t>
    <phoneticPr fontId="3"/>
  </si>
  <si>
    <t>HV始動制御の優先度</t>
    <phoneticPr fontId="3"/>
  </si>
  <si>
    <t>JEALLHV_E == u1g_EJCC_ALLHV_E</t>
    <phoneticPr fontId="3"/>
  </si>
  <si>
    <t>【ALL HV】</t>
    <phoneticPr fontId="3"/>
  </si>
  <si>
    <t>u1g_eminj_CIMPALC_PRI</t>
    <phoneticPr fontId="3"/>
  </si>
  <si>
    <t>ｱﾙｺｰﾙ燃料燃焼改善制御要求時の優先度</t>
    <phoneticPr fontId="3"/>
  </si>
  <si>
    <t>(JEFFV != u1g_EJCC_NOT_USE)  &amp;&amp; ((JEEFI == u1g_EJCC_DUAL)  || (JEEFI == u1g_EJCC_D4))  &amp;&amp; (JEEGMG_E == u1g_EJCC_HVPLGR_E)  &amp;&amp; (JEMDVVT == u1g_EJCC_USE)</t>
    <phoneticPr fontId="3"/>
  </si>
  <si>
    <t>【FFV制御有】AND(【ﾃﾞｭｱﾙINJ】OR【D-4】)AND【EG-MG遊星ｷﾞｱ】AND【MD-VVT有】</t>
    <phoneticPr fontId="3"/>
  </si>
  <si>
    <t>u1g_eminj_BINJPLCTR_STAHV_PRI</t>
    <phoneticPr fontId="3"/>
  </si>
  <si>
    <t>ﾊﾟｰｼｬﾙﾘﾌﾄ噴射を用いた基本噴射制御(HV始動制御時)の優先度</t>
    <phoneticPr fontId="3"/>
  </si>
  <si>
    <t>(JEEGMG_E == u1g_EJCC_HVPLGR_E) &amp;&amp; (JEFFV == u1g_EJCC_NOT_USE) &amp;&amp; (JEPLMLT_E == u1g_EJCC_USE)</t>
    <phoneticPr fontId="3"/>
  </si>
  <si>
    <t>【EG-MG遊星ｷﾞｱ】AND【FFV制御無】AND【PLﾏﾙﾁ噴射有】</t>
    <phoneticPr fontId="3"/>
  </si>
  <si>
    <t>u1g_eminj_RDPN_PRI</t>
    <phoneticPr fontId="3"/>
  </si>
  <si>
    <t>((JEALLHV_E == u1g_EJCC_ALLHV_E)  &amp;&amp; (JEEFI == u1g_EJCC_DUAL))   || (JEEFI == u1g_EJCC_PORT)</t>
    <phoneticPr fontId="3"/>
  </si>
  <si>
    <t>(【ALL HV】AND【ﾃﾞｭｱﾙINJ】)OR【ﾎﾟｰﾄ】</t>
    <phoneticPr fontId="3"/>
  </si>
  <si>
    <t>PN低減制御の優先度</t>
    <phoneticPr fontId="3"/>
  </si>
  <si>
    <t>u1g_eminj_ACTLFG_PRI</t>
    <phoneticPr fontId="3"/>
  </si>
  <si>
    <t>ﾊﾟｰｼｬﾙﾘﾌﾄ学習の為のｱｸﾃｨﾌﾞ制御の優先度</t>
    <phoneticPr fontId="3"/>
  </si>
  <si>
    <t>((JEEFI == u1g_EJCC_DUAL) || (JEEFI == u1g_EJCC_D4))</t>
    <phoneticPr fontId="3"/>
  </si>
  <si>
    <t>u1g_eminj_INJIMB_PRI</t>
    <phoneticPr fontId="3"/>
  </si>
  <si>
    <t>ｲﾝﾊﾞﾗﾝｽ時の噴射制御の優先度</t>
    <phoneticPr fontId="3"/>
  </si>
  <si>
    <t>(JEOBDAFIMB_D == u1g_EJCC_USE) &amp;&amp; (JEEFI == u1g_EJCC_DUAL)</t>
    <phoneticPr fontId="3"/>
  </si>
  <si>
    <t>【AF気筒間ｲﾝﾊﾞﾗﾝｽ有】AND【ﾃﾞｭｱﾙINJ】</t>
    <phoneticPr fontId="3"/>
  </si>
  <si>
    <t>u1g_eminj_IMBRQ_PRI</t>
    <phoneticPr fontId="3"/>
  </si>
  <si>
    <t>ｲﾝﾊﾞﾗﾝｽOBD要求によるｱｸﾃｨﾌﾞ制御の優先度</t>
    <phoneticPr fontId="3"/>
  </si>
  <si>
    <t>(JEEFI == u1g_EJCC_DUAL) &amp;&amp;  (JEOBDAFIMB_D == u1g_EJCC_USE)</t>
    <phoneticPr fontId="3"/>
  </si>
  <si>
    <t>u1g_eminj_MFINJRQ_PRI</t>
    <phoneticPr fontId="3"/>
  </si>
  <si>
    <t>失火OBD要求によるｱｸﾃｨﾌﾞ制御の優先度</t>
    <phoneticPr fontId="3"/>
  </si>
  <si>
    <t>(JEEFI == u1g_EJCC_DUAL) &amp;&amp;(JEOBDMF == u1g_EJCC_USE)</t>
    <phoneticPr fontId="3"/>
  </si>
  <si>
    <t>【失火OBD有】AND【ﾃﾞｭｱﾙINJ】</t>
    <phoneticPr fontId="3"/>
  </si>
  <si>
    <t>u1g_eminj_FKGDRQ_PRI</t>
    <phoneticPr fontId="3"/>
  </si>
  <si>
    <t>燃料系OBD要求によるｱｸﾃｨﾌﾞ制御の優先度</t>
    <phoneticPr fontId="3"/>
  </si>
  <si>
    <t>(JEEFI == u1g_EJCC_DUAL) &amp;&amp;(JEOBDFKG == u1g_EJCC_USE)</t>
    <phoneticPr fontId="3"/>
  </si>
  <si>
    <t>【燃料OBD有】AND【ﾃﾞｭｱﾙINJ】</t>
    <phoneticPr fontId="3"/>
  </si>
  <si>
    <t>u1g_eminj_BINJPLCTR_PRI</t>
    <phoneticPr fontId="3"/>
  </si>
  <si>
    <t>ﾊﾟｰｼｬﾙﾘﾌﾄ噴射を用いた基本噴射制御の優先度</t>
    <phoneticPr fontId="3"/>
  </si>
  <si>
    <t>JEPLMLT_E == u1g_EJCC_USE</t>
    <phoneticPr fontId="3"/>
  </si>
  <si>
    <t>【PLﾏﾙﾁ噴射有】</t>
    <phoneticPr fontId="3"/>
  </si>
  <si>
    <t>u1g_eminj_GORO_PRI</t>
    <phoneticPr fontId="3"/>
  </si>
  <si>
    <t>ｺﾞﾛｺﾞﾛ音対策実現部要求の優先度</t>
    <phoneticPr fontId="3"/>
  </si>
  <si>
    <t>JEGORO_E == u1g_EJCC_USE</t>
    <phoneticPr fontId="3"/>
  </si>
  <si>
    <t>【ｺﾞﾛｺﾞﾛ音対策仕様適用】</t>
    <phoneticPr fontId="3"/>
  </si>
  <si>
    <t>u1g_EMINJ_BINJPLCTR_WC_ID</t>
    <phoneticPr fontId="3"/>
  </si>
  <si>
    <t>ﾊﾟｰｼｬﾙﾘﾌﾄ噴射を用いた基本噴射制御(触媒暖機時)(ID)</t>
    <phoneticPr fontId="3"/>
  </si>
  <si>
    <t>u1g_EMINJ_FCFRCTRL_ID</t>
    <phoneticPr fontId="3"/>
  </si>
  <si>
    <t>1気筒FC制御(ID)</t>
    <phoneticPr fontId="3"/>
  </si>
  <si>
    <t>u1g_EMINJ_STACM_ID</t>
    <phoneticPr fontId="3"/>
  </si>
  <si>
    <t>始動時吹け上がり制御(ID)</t>
    <phoneticPr fontId="3"/>
  </si>
  <si>
    <t>u1g_EMINJ_RDPN_ST_ID</t>
    <phoneticPr fontId="3"/>
  </si>
  <si>
    <t>PN低減制御(始動時)(ID)</t>
    <phoneticPr fontId="3"/>
  </si>
  <si>
    <t>u1g_EMINJ_STRATIST_ID</t>
    <phoneticPr fontId="3"/>
  </si>
  <si>
    <t>成層始動制御(ID)</t>
    <phoneticPr fontId="3"/>
  </si>
  <si>
    <t>u1g_EMINJ_STAFRG_ID</t>
    <phoneticPr fontId="3"/>
  </si>
  <si>
    <t>極低温始動制御(ID)</t>
    <phoneticPr fontId="3"/>
  </si>
  <si>
    <t>u1g_EMINJ_STAHV_ID</t>
    <phoneticPr fontId="3"/>
  </si>
  <si>
    <t>HV始動制御(ID)</t>
    <phoneticPr fontId="3"/>
  </si>
  <si>
    <t>u1g_EMINJ_CIMPALC_ID</t>
    <phoneticPr fontId="3"/>
  </si>
  <si>
    <t>ｱﾙｺｰﾙ燃料燃焼改善制御(ID)</t>
    <phoneticPr fontId="3"/>
  </si>
  <si>
    <t>u1g_EMINJ_BINJPLCTR_STAHV_ID</t>
    <phoneticPr fontId="3"/>
  </si>
  <si>
    <t>ﾊﾟｰｼｬﾙﾘﾌﾄ噴射を用いた基本噴射制御(HV始動制御時)(ID)</t>
    <phoneticPr fontId="3"/>
  </si>
  <si>
    <t>u1g_EMINJ_RDPN_ID</t>
    <phoneticPr fontId="3"/>
  </si>
  <si>
    <t>PN低減制御(ID)</t>
    <phoneticPr fontId="3"/>
  </si>
  <si>
    <t>u1g_EMINJ_ACTLFG_ID</t>
    <phoneticPr fontId="3"/>
  </si>
  <si>
    <t>ﾊﾟｰｼｬﾙﾘﾌﾄ学習の為のｱｸﾃｨﾌﾞ制御(ID)</t>
    <phoneticPr fontId="3"/>
  </si>
  <si>
    <t>u1g_EMINJ_INJIMB_ID</t>
    <phoneticPr fontId="3"/>
  </si>
  <si>
    <t>ｲﾝﾊﾞﾗﾝｽ時の噴射制御(ID)</t>
    <phoneticPr fontId="3"/>
  </si>
  <si>
    <t>u1g_EMINJ_IMBRQ_ID</t>
    <phoneticPr fontId="3"/>
  </si>
  <si>
    <t>ｲﾝﾊﾞﾗﾝｽOBD要求によるｱｸﾃｨﾌﾞ制御(ID)</t>
    <phoneticPr fontId="3"/>
  </si>
  <si>
    <t>u1g_EMINJ_MFINJRQ_ID</t>
    <phoneticPr fontId="3"/>
  </si>
  <si>
    <t>失火OBD要求によるｱｸﾃｨﾌﾞ制御(ID)</t>
    <phoneticPr fontId="3"/>
  </si>
  <si>
    <t>燃料系OBD要求によるｱｸﾃｨﾌﾞ制御(ID)</t>
    <phoneticPr fontId="3"/>
  </si>
  <si>
    <t>u1g_EMINJ_FKGDRQ_ID</t>
    <phoneticPr fontId="3"/>
  </si>
  <si>
    <t>u1g_EMINJ_BINJPLCTR_ID</t>
    <phoneticPr fontId="3"/>
  </si>
  <si>
    <t>ﾊﾟｰｼｬﾙﾘﾌﾄ噴射を用いた基本噴射制御(ID)</t>
    <phoneticPr fontId="3"/>
  </si>
  <si>
    <t>u1g_EMINJ_GORO_ID</t>
    <phoneticPr fontId="3"/>
  </si>
  <si>
    <t>ｺﾞﾛｺﾞﾛ音対策実現部要求(ID)</t>
    <phoneticPr fontId="3"/>
  </si>
  <si>
    <t>ー</t>
    <phoneticPr fontId="3"/>
  </si>
  <si>
    <t>気筒別噴射量補正段要求有識別子</t>
    <rPh sb="12" eb="15">
      <t>シキベツシ</t>
    </rPh>
    <phoneticPr fontId="3"/>
  </si>
  <si>
    <t>気筒別噴射量補正係数要求有識別子</t>
    <rPh sb="13" eb="16">
      <t>シキベツシ</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</si>
</sst>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40">
    <font>
      <sz val="11"/>
      <color theme="1"/>
      <name val="游ゴシック"/>
      <family val="2"/>
      <charset val="128"/>
      <scheme val="minor"/>
    </font>
    <font>
      <sz val="11"/>
      <color theme="1"/>
      <name val="游ゴシック"/>
      <family val="2"/>
      <charset val="128"/>
      <scheme val="minor"/>
    </font>
    <font>
      <b/>
      <sz val="14"/>
      <color theme="1"/>
      <name val="游ゴシック"/>
      <family val="3"/>
      <charset val="128"/>
      <scheme val="minor"/>
    </font>
    <font>
      <sz val="6"/>
      <name val="游ゴシック"/>
      <family val="2"/>
      <charset val="128"/>
      <scheme val="minor"/>
    </font>
    <font>
      <b/>
      <sz val="11"/>
      <color theme="1"/>
      <name val="游ゴシック"/>
      <family val="3"/>
      <charset val="128"/>
      <scheme val="minor"/>
    </font>
    <font>
      <b/>
      <sz val="14"/>
      <color rgb="FFFF0000"/>
      <name val="游ゴシック"/>
      <family val="3"/>
      <charset val="128"/>
      <scheme val="minor"/>
    </font>
    <font>
      <b/>
      <sz val="11"/>
      <color rgb="FFFF0000"/>
      <name val="游ゴシック"/>
      <family val="3"/>
      <charset val="128"/>
      <scheme val="minor"/>
    </font>
    <font>
      <sz val="11"/>
      <color theme="1"/>
      <name val="游ゴシック"/>
      <family val="3"/>
      <charset val="128"/>
      <scheme val="minor"/>
    </font>
    <font>
      <b/>
      <sz val="9"/>
      <color indexed="81"/>
      <name val="MS P ゴシック"/>
      <family val="3"/>
      <charset val="128"/>
    </font>
    <font>
      <b/>
      <sz val="12"/>
      <color theme="1"/>
      <name val="游ゴシック"/>
      <family val="3"/>
      <charset val="128"/>
      <scheme val="minor"/>
    </font>
    <font>
      <sz val="11"/>
      <color rgb="FFFF0000"/>
      <name val="游ゴシック"/>
      <family val="3"/>
      <charset val="128"/>
      <scheme val="minor"/>
    </font>
    <font>
      <u/>
      <sz val="11"/>
      <color theme="10"/>
      <name val="游ゴシック"/>
      <family val="2"/>
      <charset val="128"/>
      <scheme val="minor"/>
    </font>
    <font>
      <sz val="12"/>
      <color indexed="81"/>
      <name val="MS P ゴシック"/>
      <family val="3"/>
      <charset val="128"/>
    </font>
    <font>
      <sz val="11"/>
      <color rgb="FF000000"/>
      <name val="游ゴシック"/>
      <family val="3"/>
      <charset val="128"/>
    </font>
    <font>
      <b/>
      <u/>
      <sz val="11"/>
      <color theme="10"/>
      <name val="游ゴシック"/>
      <family val="3"/>
      <charset val="128"/>
      <scheme val="minor"/>
    </font>
    <font>
      <sz val="11"/>
      <name val="游ゴシック"/>
      <family val="3"/>
      <charset val="128"/>
      <scheme val="minor"/>
    </font>
    <font>
      <b/>
      <u/>
      <sz val="14"/>
      <color rgb="FFFF0000"/>
      <name val="游ゴシック"/>
      <family val="3"/>
      <charset val="128"/>
      <scheme val="minor"/>
    </font>
    <font>
      <b/>
      <sz val="14"/>
      <name val="游ゴシック"/>
      <family val="3"/>
      <charset val="128"/>
      <scheme val="minor"/>
    </font>
    <font>
      <u/>
      <sz val="12"/>
      <color theme="10"/>
      <name val="游ゴシック"/>
      <family val="2"/>
      <charset val="128"/>
      <scheme val="minor"/>
    </font>
    <font>
      <sz val="9"/>
      <color indexed="81"/>
      <name val="MS P ゴシック"/>
      <family val="3"/>
      <charset val="128"/>
    </font>
    <font>
      <b/>
      <sz val="11"/>
      <color indexed="81"/>
      <name val="MS P ゴシック"/>
      <family val="3"/>
      <charset val="128"/>
    </font>
    <font>
      <sz val="11"/>
      <color indexed="81"/>
      <name val="MS P ゴシック"/>
      <family val="3"/>
      <charset val="128"/>
    </font>
    <font>
      <b/>
      <sz val="12"/>
      <color indexed="81"/>
      <name val="MS P ゴシック"/>
      <family val="3"/>
      <charset val="128"/>
    </font>
    <font>
      <sz val="10"/>
      <color indexed="81"/>
      <name val="MS P ゴシック"/>
      <family val="3"/>
      <charset val="128"/>
    </font>
    <font>
      <u/>
      <sz val="10"/>
      <color indexed="81"/>
      <name val="MS P ゴシック"/>
      <family val="3"/>
      <charset val="128"/>
    </font>
    <font>
      <sz val="10"/>
      <color theme="1"/>
      <name val="游ゴシック"/>
      <family val="2"/>
      <charset val="128"/>
      <scheme val="minor"/>
    </font>
    <font>
      <sz val="11"/>
      <color theme="0"/>
      <name val="游ゴシック"/>
      <family val="2"/>
      <charset val="128"/>
      <scheme val="minor"/>
    </font>
    <font>
      <b/>
      <sz val="11"/>
      <color indexed="81"/>
      <name val="Meiryo UI"/>
      <family val="3"/>
      <charset val="128"/>
    </font>
    <font>
      <sz val="11"/>
      <color indexed="81"/>
      <name val="Meiryo UI"/>
      <family val="3"/>
      <charset val="128"/>
    </font>
    <font>
      <b/>
      <sz val="12"/>
      <color indexed="81"/>
      <name val="ＭＳ ゴシック"/>
      <family val="3"/>
      <charset val="128"/>
    </font>
    <font>
      <sz val="11"/>
      <color theme="1"/>
      <name val="ＭＳ Ｐゴシック"/>
      <family val="3"/>
      <charset val="128"/>
    </font>
    <font>
      <sz val="11"/>
      <color theme="1"/>
      <name val="ＭＳ ゴシック"/>
      <family val="3"/>
      <charset val="128"/>
    </font>
    <font>
      <b/>
      <sz val="11"/>
      <name val="游ゴシック"/>
      <family val="3"/>
      <charset val="128"/>
      <scheme val="minor"/>
    </font>
    <font>
      <b/>
      <sz val="12"/>
      <color theme="1"/>
      <name val="ＭＳ Ｐゴシック"/>
      <family val="3"/>
      <charset val="128"/>
    </font>
    <font>
      <b/>
      <u/>
      <sz val="11"/>
      <color indexed="81"/>
      <name val="MS P ゴシック"/>
      <family val="3"/>
      <charset val="128"/>
    </font>
    <font>
      <b/>
      <sz val="10"/>
      <color indexed="81"/>
      <name val="MS P ゴシック"/>
      <family val="3"/>
      <charset val="128"/>
    </font>
    <font>
      <b/>
      <u/>
      <sz val="10"/>
      <color indexed="81"/>
      <name val="MS P ゴシック"/>
      <family val="3"/>
      <charset val="128"/>
    </font>
    <font>
      <sz val="14"/>
      <color indexed="81"/>
      <name val="MS P ゴシック"/>
      <family val="3"/>
      <charset val="128"/>
    </font>
    <font>
      <b/>
      <sz val="14"/>
      <color indexed="81"/>
      <name val="MS P ゴシック"/>
      <family val="3"/>
      <charset val="128"/>
    </font>
    <font>
      <sz val="11"/>
      <color rgb="FF000000"/>
      <name val="ＭＳ Ｐゴシック"/>
      <family val="3"/>
      <charset val="128"/>
    </font>
  </fonts>
  <fills count="8">
    <fill>
      <patternFill patternType="none"/>
    </fill>
    <fill>
      <patternFill patternType="gray125"/>
    </fill>
    <fill>
      <patternFill patternType="solid">
        <fgColor theme="8"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theme="9" tint="0.79998168889431442"/>
        <bgColor indexed="64"/>
      </patternFill>
    </fill>
  </fills>
  <borders count="51">
    <border>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thin">
        <color auto="1"/>
      </right>
      <top/>
      <bottom/>
      <diagonal/>
    </border>
    <border>
      <left style="thin">
        <color auto="1"/>
      </left>
      <right style="medium">
        <color indexed="64"/>
      </right>
      <top/>
      <bottom/>
      <diagonal/>
    </border>
    <border>
      <left style="thin">
        <color auto="1"/>
      </left>
      <right/>
      <top/>
      <bottom/>
      <diagonal/>
    </border>
    <border>
      <left style="medium">
        <color indexed="64"/>
      </left>
      <right/>
      <top/>
      <bottom/>
      <diagonal/>
    </border>
    <border>
      <left style="thin">
        <color auto="1"/>
      </left>
      <right style="thin">
        <color auto="1"/>
      </right>
      <top style="thin">
        <color auto="1"/>
      </top>
      <bottom/>
      <diagonal/>
    </border>
    <border>
      <left/>
      <right style="medium">
        <color indexed="64"/>
      </right>
      <top/>
      <bottom/>
      <diagonal/>
    </border>
    <border>
      <left style="thin">
        <color auto="1"/>
      </left>
      <right/>
      <top style="medium">
        <color indexed="64"/>
      </top>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auto="1"/>
      </left>
      <right style="thin">
        <color auto="1"/>
      </right>
      <top style="medium">
        <color indexed="64"/>
      </top>
      <bottom style="double">
        <color indexed="64"/>
      </bottom>
      <diagonal/>
    </border>
    <border>
      <left style="thin">
        <color auto="1"/>
      </left>
      <right/>
      <top style="medium">
        <color indexed="64"/>
      </top>
      <bottom style="double">
        <color indexed="64"/>
      </bottom>
      <diagonal/>
    </border>
    <border>
      <left style="medium">
        <color indexed="64"/>
      </left>
      <right style="medium">
        <color indexed="64"/>
      </right>
      <top/>
      <bottom style="double">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auto="1"/>
      </right>
      <top style="medium">
        <color indexed="64"/>
      </top>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medium">
        <color indexed="64"/>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medium">
        <color indexed="64"/>
      </left>
      <right style="hair">
        <color auto="1"/>
      </right>
      <top style="thin">
        <color auto="1"/>
      </top>
      <bottom style="medium">
        <color indexed="64"/>
      </bottom>
      <diagonal/>
    </border>
    <border>
      <left style="hair">
        <color auto="1"/>
      </left>
      <right style="thin">
        <color auto="1"/>
      </right>
      <top style="thin">
        <color auto="1"/>
      </top>
      <bottom style="medium">
        <color indexed="64"/>
      </bottom>
      <diagonal/>
    </border>
    <border>
      <left style="thin">
        <color auto="1"/>
      </left>
      <right style="hair">
        <color auto="1"/>
      </right>
      <top style="thin">
        <color auto="1"/>
      </top>
      <bottom style="thin">
        <color auto="1"/>
      </bottom>
      <diagonal/>
    </border>
    <border>
      <left style="thin">
        <color auto="1"/>
      </left>
      <right style="hair">
        <color auto="1"/>
      </right>
      <top style="thin">
        <color auto="1"/>
      </top>
      <bottom style="medium">
        <color indexed="64"/>
      </bottom>
      <diagonal/>
    </border>
    <border>
      <left style="hair">
        <color auto="1"/>
      </left>
      <right style="medium">
        <color indexed="64"/>
      </right>
      <top style="thin">
        <color auto="1"/>
      </top>
      <bottom style="thin">
        <color auto="1"/>
      </bottom>
      <diagonal/>
    </border>
    <border>
      <left style="hair">
        <color auto="1"/>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medium">
        <color indexed="64"/>
      </right>
      <top style="medium">
        <color indexed="64"/>
      </top>
      <bottom style="double">
        <color indexed="64"/>
      </bottom>
      <diagonal/>
    </border>
    <border>
      <left style="medium">
        <color indexed="64"/>
      </left>
      <right style="medium">
        <color indexed="64"/>
      </right>
      <top style="thin">
        <color auto="1"/>
      </top>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s>
  <cellStyleXfs count="3">
    <xf numFmtId="0" fontId="0" fillId="0" borderId="0">
      <alignment vertical="center"/>
    </xf>
    <xf numFmtId="0" fontId="11" fillId="0" borderId="0" applyNumberFormat="0" applyFill="0" applyBorder="0" applyAlignment="0" applyProtection="0">
      <alignment vertical="center"/>
    </xf>
    <xf numFmtId="0" fontId="11" fillId="0" borderId="0" applyNumberFormat="0" applyFill="0" applyBorder="0" applyAlignment="0" applyProtection="0">
      <alignment vertical="center"/>
    </xf>
  </cellStyleXfs>
  <cellXfs count="185">
    <xf numFmtId="0" fontId="0" fillId="0" borderId="0" xfId="0">
      <alignment vertical="center"/>
    </xf>
    <xf numFmtId="0" fontId="2" fillId="2" borderId="0" xfId="0" applyFont="1" applyFill="1" applyAlignment="1">
      <alignment horizontal="centerContinuous" vertical="center"/>
    </xf>
    <xf numFmtId="0" fontId="2" fillId="4" borderId="0" xfId="0" applyFont="1" applyFill="1" applyAlignment="1">
      <alignment horizontal="centerContinuous" vertical="center"/>
    </xf>
    <xf numFmtId="0" fontId="5" fillId="5" borderId="0" xfId="0" applyFont="1" applyFill="1" applyAlignment="1">
      <alignment horizontal="centerContinuous" vertical="center"/>
    </xf>
    <xf numFmtId="0" fontId="0" fillId="5" borderId="0" xfId="0" applyFill="1" applyAlignment="1">
      <alignment horizontal="centerContinuous" vertical="center"/>
    </xf>
    <xf numFmtId="0" fontId="0" fillId="6" borderId="4" xfId="0" applyFill="1" applyBorder="1" applyAlignment="1">
      <alignment horizontal="center" vertical="center"/>
    </xf>
    <xf numFmtId="0" fontId="0" fillId="6" borderId="5" xfId="0" applyFill="1" applyBorder="1" applyAlignment="1">
      <alignment horizontal="center" vertical="center"/>
    </xf>
    <xf numFmtId="0" fontId="6" fillId="6" borderId="6" xfId="0" applyFont="1" applyFill="1" applyBorder="1" applyAlignment="1">
      <alignment horizontal="center" vertical="center"/>
    </xf>
    <xf numFmtId="0" fontId="0" fillId="6" borderId="7" xfId="0" applyFill="1" applyBorder="1" applyAlignment="1">
      <alignment horizontal="center" vertical="center"/>
    </xf>
    <xf numFmtId="0" fontId="4" fillId="6" borderId="8" xfId="0" applyFont="1" applyFill="1" applyBorder="1" applyAlignment="1">
      <alignment horizontal="center" vertical="center"/>
    </xf>
    <xf numFmtId="0" fontId="0" fillId="6" borderId="10" xfId="0" applyFill="1" applyBorder="1" applyAlignment="1">
      <alignment horizontal="center" vertical="center"/>
    </xf>
    <xf numFmtId="0" fontId="0" fillId="0" borderId="11" xfId="0" applyBorder="1" applyAlignment="1">
      <alignment horizontal="center" vertical="center"/>
    </xf>
    <xf numFmtId="0" fontId="6" fillId="6" borderId="12"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13" xfId="0" applyFont="1" applyFill="1" applyBorder="1" applyAlignment="1">
      <alignment horizontal="center" vertical="center"/>
    </xf>
    <xf numFmtId="0" fontId="0" fillId="0" borderId="0" xfId="0" applyAlignment="1">
      <alignment horizontal="right" vertical="center"/>
    </xf>
    <xf numFmtId="0" fontId="7" fillId="0" borderId="0" xfId="0" applyFont="1">
      <alignment vertical="center"/>
    </xf>
    <xf numFmtId="0" fontId="9" fillId="0" borderId="0" xfId="0" applyFont="1">
      <alignment vertical="center"/>
    </xf>
    <xf numFmtId="0" fontId="4" fillId="0" borderId="0" xfId="0" applyFont="1">
      <alignment vertical="center"/>
    </xf>
    <xf numFmtId="0" fontId="0" fillId="0" borderId="14" xfId="0" applyBorder="1">
      <alignment vertical="center"/>
    </xf>
    <xf numFmtId="0" fontId="0" fillId="0" borderId="15" xfId="0" applyBorder="1">
      <alignment vertical="center"/>
    </xf>
    <xf numFmtId="0" fontId="0" fillId="6" borderId="0" xfId="0" applyFill="1">
      <alignment vertical="center"/>
    </xf>
    <xf numFmtId="0" fontId="4" fillId="0" borderId="16" xfId="0" applyFont="1" applyBorder="1">
      <alignment vertical="center"/>
    </xf>
    <xf numFmtId="0" fontId="4" fillId="0" borderId="17" xfId="0" applyFont="1" applyBorder="1">
      <alignment vertical="center"/>
    </xf>
    <xf numFmtId="0" fontId="0" fillId="6" borderId="21" xfId="0" applyFill="1" applyBorder="1" applyAlignment="1">
      <alignment horizontal="center" vertical="center"/>
    </xf>
    <xf numFmtId="0" fontId="0" fillId="6" borderId="19" xfId="0" applyFill="1" applyBorder="1" applyAlignment="1">
      <alignment horizontal="center" vertical="center"/>
    </xf>
    <xf numFmtId="0" fontId="0" fillId="6" borderId="20" xfId="0" applyFill="1" applyBorder="1" applyAlignment="1">
      <alignment horizontal="center" vertical="center"/>
    </xf>
    <xf numFmtId="0" fontId="0" fillId="0" borderId="23" xfId="0" applyBorder="1">
      <alignment vertical="center"/>
    </xf>
    <xf numFmtId="0" fontId="0" fillId="0" borderId="26" xfId="0" applyBorder="1" applyAlignment="1">
      <alignment vertical="top"/>
    </xf>
    <xf numFmtId="0" fontId="0" fillId="0" borderId="25" xfId="0" applyBorder="1" applyAlignment="1">
      <alignment horizontal="right" vertical="center"/>
    </xf>
    <xf numFmtId="0" fontId="0" fillId="0" borderId="26" xfId="0" applyBorder="1" applyAlignment="1">
      <alignment horizontal="center" vertical="center"/>
    </xf>
    <xf numFmtId="0" fontId="0" fillId="0" borderId="28" xfId="0" applyBorder="1" applyAlignment="1">
      <alignment horizontal="center" vertical="center"/>
    </xf>
    <xf numFmtId="49" fontId="0" fillId="0" borderId="0" xfId="0" applyNumberFormat="1" applyAlignment="1">
      <alignment horizontal="center" vertical="center" shrinkToFit="1"/>
    </xf>
    <xf numFmtId="0" fontId="0" fillId="0" borderId="0" xfId="0" applyAlignment="1">
      <alignment vertical="top"/>
    </xf>
    <xf numFmtId="0" fontId="0" fillId="0" borderId="0" xfId="0" applyAlignment="1">
      <alignment horizontal="center" vertical="center"/>
    </xf>
    <xf numFmtId="0" fontId="2" fillId="2" borderId="0" xfId="0" applyFont="1" applyFill="1" applyAlignment="1">
      <alignment horizontal="centerContinuous" vertical="center" shrinkToFit="1"/>
    </xf>
    <xf numFmtId="0" fontId="0" fillId="0" borderId="0" xfId="0" applyAlignment="1">
      <alignment horizontal="center" vertical="center" shrinkToFit="1"/>
    </xf>
    <xf numFmtId="0" fontId="0" fillId="0" borderId="16" xfId="0" applyBorder="1" applyAlignment="1">
      <alignment horizontal="left" vertical="center"/>
    </xf>
    <xf numFmtId="0" fontId="0" fillId="0" borderId="16"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lignment vertical="center"/>
    </xf>
    <xf numFmtId="0" fontId="0" fillId="0" borderId="25" xfId="0" applyBorder="1">
      <alignment vertical="center"/>
    </xf>
    <xf numFmtId="0" fontId="0" fillId="0" borderId="26" xfId="0" applyBorder="1">
      <alignment vertical="center"/>
    </xf>
    <xf numFmtId="0" fontId="0" fillId="0" borderId="33" xfId="0" applyBorder="1">
      <alignment vertical="center"/>
    </xf>
    <xf numFmtId="0" fontId="0" fillId="0" borderId="27" xfId="0" applyBorder="1">
      <alignment vertical="center"/>
    </xf>
    <xf numFmtId="0" fontId="0" fillId="0" borderId="24" xfId="0" applyBorder="1">
      <alignment vertical="center"/>
    </xf>
    <xf numFmtId="0" fontId="0" fillId="0" borderId="28" xfId="0" applyBorder="1">
      <alignment vertical="center"/>
    </xf>
    <xf numFmtId="0" fontId="0" fillId="0" borderId="35" xfId="0" applyBorder="1">
      <alignment vertical="center"/>
    </xf>
    <xf numFmtId="0" fontId="0" fillId="0" borderId="37" xfId="0" applyBorder="1">
      <alignment vertical="center"/>
    </xf>
    <xf numFmtId="0" fontId="0" fillId="0" borderId="38"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2" fillId="0" borderId="0" xfId="0" applyFont="1">
      <alignment vertical="center"/>
    </xf>
    <xf numFmtId="0" fontId="4" fillId="0" borderId="0" xfId="0" applyFont="1" applyAlignment="1">
      <alignment horizontal="right" vertical="center"/>
    </xf>
    <xf numFmtId="0" fontId="14" fillId="0" borderId="0" xfId="1" applyFont="1">
      <alignment vertical="center"/>
    </xf>
    <xf numFmtId="0" fontId="11" fillId="0" borderId="0" xfId="1">
      <alignment vertical="center"/>
    </xf>
    <xf numFmtId="0" fontId="0" fillId="0" borderId="0" xfId="0" applyAlignment="1">
      <alignment horizontal="right" vertical="center"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vertical="center"/>
    </xf>
    <xf numFmtId="0" fontId="0" fillId="7" borderId="0" xfId="0" applyFill="1" applyAlignment="1">
      <alignment horizontal="left" vertical="top" wrapText="1"/>
    </xf>
    <xf numFmtId="0" fontId="0" fillId="7" borderId="0" xfId="0" applyFill="1">
      <alignment vertical="center"/>
    </xf>
    <xf numFmtId="0" fontId="0" fillId="0" borderId="15" xfId="0" applyBorder="1" applyAlignment="1">
      <alignment horizontal="right" vertical="center"/>
    </xf>
    <xf numFmtId="0" fontId="0" fillId="7" borderId="15" xfId="0" applyFill="1" applyBorder="1" applyAlignment="1">
      <alignment horizontal="left" vertical="top"/>
    </xf>
    <xf numFmtId="0" fontId="0" fillId="7" borderId="15" xfId="0" applyFill="1" applyBorder="1" applyAlignment="1">
      <alignment horizontal="left" vertical="top" wrapText="1"/>
    </xf>
    <xf numFmtId="0" fontId="4" fillId="0" borderId="0" xfId="0" applyFont="1" applyAlignment="1">
      <alignment horizontal="left" vertical="center"/>
    </xf>
    <xf numFmtId="0" fontId="14" fillId="0" borderId="0" xfId="2" applyFont="1" applyAlignment="1">
      <alignment horizontal="left" vertical="center"/>
    </xf>
    <xf numFmtId="0" fontId="7" fillId="0" borderId="0" xfId="0" applyFont="1" applyAlignment="1">
      <alignment horizontal="left" vertical="center"/>
    </xf>
    <xf numFmtId="0" fontId="4" fillId="6" borderId="18" xfId="0" applyFont="1" applyFill="1" applyBorder="1" applyAlignment="1">
      <alignment horizontal="center" vertical="center"/>
    </xf>
    <xf numFmtId="0" fontId="0" fillId="0" borderId="15" xfId="0" applyBorder="1" applyAlignment="1">
      <alignment vertical="center" wrapText="1"/>
    </xf>
    <xf numFmtId="0" fontId="0" fillId="0" borderId="26" xfId="0" applyBorder="1" applyAlignment="1">
      <alignment vertical="center" wrapText="1"/>
    </xf>
    <xf numFmtId="0" fontId="0" fillId="0" borderId="23" xfId="0" applyBorder="1" applyAlignment="1">
      <alignment vertical="center" wrapText="1"/>
    </xf>
    <xf numFmtId="0" fontId="0" fillId="0" borderId="32" xfId="0" applyBorder="1" applyAlignment="1">
      <alignment vertical="center" wrapText="1"/>
    </xf>
    <xf numFmtId="0" fontId="0" fillId="0" borderId="25" xfId="0" applyBorder="1" applyAlignment="1">
      <alignment vertical="center" wrapText="1"/>
    </xf>
    <xf numFmtId="0" fontId="0" fillId="0" borderId="33" xfId="0" applyBorder="1" applyAlignment="1">
      <alignment vertical="center" wrapText="1"/>
    </xf>
    <xf numFmtId="0" fontId="0" fillId="0" borderId="24" xfId="0" applyBorder="1" applyAlignment="1">
      <alignment vertical="center" wrapText="1"/>
    </xf>
    <xf numFmtId="0" fontId="0" fillId="0" borderId="28" xfId="0" applyBorder="1" applyAlignment="1">
      <alignment vertical="center" wrapText="1"/>
    </xf>
    <xf numFmtId="0" fontId="0" fillId="0" borderId="34" xfId="0" applyBorder="1" applyAlignment="1">
      <alignment vertical="center" wrapText="1"/>
    </xf>
    <xf numFmtId="0" fontId="0" fillId="0" borderId="36" xfId="0" applyBorder="1" applyAlignment="1">
      <alignment vertical="center" wrapText="1"/>
    </xf>
    <xf numFmtId="0" fontId="0" fillId="0" borderId="38" xfId="0" applyBorder="1" applyAlignment="1">
      <alignment vertical="center" wrapText="1"/>
    </xf>
    <xf numFmtId="0" fontId="0" fillId="0" borderId="39" xfId="0" applyBorder="1" applyAlignment="1">
      <alignment vertical="center" wrapText="1"/>
    </xf>
    <xf numFmtId="0" fontId="0" fillId="0" borderId="35" xfId="0" applyBorder="1" applyAlignment="1">
      <alignment vertical="center" wrapText="1"/>
    </xf>
    <xf numFmtId="0" fontId="0" fillId="0" borderId="37" xfId="0" applyBorder="1" applyAlignment="1">
      <alignment vertical="center" wrapText="1"/>
    </xf>
    <xf numFmtId="0" fontId="4" fillId="3" borderId="0" xfId="0" applyFont="1" applyFill="1" applyAlignment="1">
      <alignment horizontal="center" vertical="center"/>
    </xf>
    <xf numFmtId="0" fontId="2" fillId="0" borderId="0" xfId="0" applyFont="1" applyAlignment="1">
      <alignment horizontal="left" vertical="center"/>
    </xf>
    <xf numFmtId="0" fontId="6" fillId="0" borderId="0" xfId="0" applyFont="1">
      <alignment vertical="center"/>
    </xf>
    <xf numFmtId="49" fontId="0" fillId="6" borderId="15" xfId="0" applyNumberFormat="1" applyFill="1" applyBorder="1" applyAlignment="1" applyProtection="1">
      <alignment horizontal="center" vertical="center"/>
      <protection locked="0"/>
    </xf>
    <xf numFmtId="0" fontId="4" fillId="0" borderId="0" xfId="0" applyFont="1" applyAlignment="1">
      <alignment horizontal="right" vertical="top"/>
    </xf>
    <xf numFmtId="0" fontId="0" fillId="0" borderId="0" xfId="0" applyAlignment="1"/>
    <xf numFmtId="49" fontId="0" fillId="6" borderId="15" xfId="0" applyNumberFormat="1" applyFill="1" applyBorder="1" applyAlignment="1" applyProtection="1">
      <alignment horizontal="left" vertical="top" wrapText="1"/>
      <protection locked="0"/>
    </xf>
    <xf numFmtId="49" fontId="0" fillId="6" borderId="15" xfId="0" applyNumberFormat="1" applyFill="1" applyBorder="1" applyAlignment="1" applyProtection="1">
      <alignment horizontal="left" vertical="top"/>
      <protection locked="0"/>
    </xf>
    <xf numFmtId="0" fontId="18" fillId="0" borderId="0" xfId="2" applyFont="1">
      <alignment vertical="center"/>
    </xf>
    <xf numFmtId="0" fontId="4" fillId="0" borderId="0" xfId="0" applyFont="1" applyAlignment="1">
      <alignment horizontal="left" vertical="top"/>
    </xf>
    <xf numFmtId="9" fontId="4" fillId="6" borderId="42" xfId="0" applyNumberFormat="1" applyFont="1" applyFill="1" applyBorder="1">
      <alignment vertical="center"/>
    </xf>
    <xf numFmtId="0" fontId="25" fillId="0" borderId="0" xfId="0" applyFont="1" applyAlignment="1">
      <alignment horizontal="right" vertical="center"/>
    </xf>
    <xf numFmtId="0" fontId="25" fillId="0" borderId="0" xfId="0" applyFont="1" applyAlignment="1">
      <alignment horizontal="left" vertical="top"/>
    </xf>
    <xf numFmtId="0" fontId="0" fillId="6" borderId="0" xfId="0" applyFill="1" applyAlignment="1" applyProtection="1">
      <alignment horizontal="left" vertical="top"/>
      <protection locked="0"/>
    </xf>
    <xf numFmtId="0" fontId="15" fillId="0" borderId="16" xfId="0" applyFont="1" applyBorder="1" applyAlignment="1">
      <alignment horizontal="center" vertical="center"/>
    </xf>
    <xf numFmtId="0" fontId="26" fillId="0" borderId="0" xfId="0" applyFont="1" applyAlignment="1">
      <alignment horizontal="center" vertical="center"/>
    </xf>
    <xf numFmtId="0" fontId="0" fillId="6" borderId="19" xfId="0" applyFill="1" applyBorder="1" applyAlignment="1">
      <alignment horizontal="center" vertical="center" shrinkToFit="1"/>
    </xf>
    <xf numFmtId="0" fontId="0" fillId="6" borderId="43" xfId="0" applyFill="1" applyBorder="1" applyAlignment="1">
      <alignment horizontal="center" vertical="center"/>
    </xf>
    <xf numFmtId="49" fontId="0" fillId="0" borderId="33" xfId="0" applyNumberFormat="1" applyBorder="1" applyAlignment="1">
      <alignment horizontal="left" vertical="center"/>
    </xf>
    <xf numFmtId="0" fontId="4" fillId="0" borderId="44" xfId="0" applyFont="1" applyBorder="1" applyAlignment="1">
      <alignment horizontal="center" vertical="center"/>
    </xf>
    <xf numFmtId="0" fontId="0" fillId="0" borderId="46" xfId="0" applyBorder="1">
      <alignment vertical="center"/>
    </xf>
    <xf numFmtId="49" fontId="0" fillId="0" borderId="19" xfId="0" applyNumberFormat="1" applyBorder="1" applyAlignment="1">
      <alignment horizontal="center" vertical="center"/>
    </xf>
    <xf numFmtId="0" fontId="0" fillId="0" borderId="20" xfId="0" applyBorder="1" applyAlignment="1">
      <alignment horizontal="center" vertical="center"/>
    </xf>
    <xf numFmtId="176" fontId="0" fillId="0" borderId="43" xfId="0" applyNumberFormat="1" applyBorder="1" applyAlignment="1">
      <alignment horizontal="center" vertical="center"/>
    </xf>
    <xf numFmtId="49" fontId="0" fillId="0" borderId="45" xfId="0" applyNumberFormat="1" applyBorder="1" applyAlignment="1">
      <alignment horizontal="center" vertical="center"/>
    </xf>
    <xf numFmtId="49" fontId="0" fillId="0" borderId="25" xfId="0" applyNumberFormat="1" applyBorder="1" applyAlignment="1">
      <alignment horizontal="center" vertical="center"/>
    </xf>
    <xf numFmtId="176" fontId="0" fillId="0" borderId="47" xfId="0" applyNumberFormat="1" applyBorder="1" applyAlignment="1">
      <alignment horizontal="center" vertical="center"/>
    </xf>
    <xf numFmtId="176" fontId="0" fillId="0" borderId="33" xfId="0" applyNumberFormat="1" applyBorder="1" applyAlignment="1">
      <alignment horizontal="center" vertical="center"/>
    </xf>
    <xf numFmtId="49" fontId="0" fillId="0" borderId="0" xfId="0" applyNumberFormat="1">
      <alignment vertical="center"/>
    </xf>
    <xf numFmtId="0" fontId="0" fillId="0" borderId="9" xfId="0" applyBorder="1" applyAlignment="1">
      <alignment vertical="top" wrapText="1"/>
    </xf>
    <xf numFmtId="49" fontId="30" fillId="0" borderId="12" xfId="0" applyNumberFormat="1" applyFont="1" applyBorder="1" applyAlignment="1">
      <alignment horizontal="center" vertical="center" shrinkToFit="1"/>
    </xf>
    <xf numFmtId="49" fontId="30" fillId="0" borderId="25" xfId="0" applyNumberFormat="1" applyFont="1" applyBorder="1" applyAlignment="1">
      <alignment horizontal="center" vertical="center" shrinkToFit="1"/>
    </xf>
    <xf numFmtId="0" fontId="31" fillId="0" borderId="12" xfId="0" applyFont="1" applyBorder="1" applyAlignment="1">
      <alignment horizontal="right" vertical="center"/>
    </xf>
    <xf numFmtId="0" fontId="31" fillId="0" borderId="9" xfId="0" applyFont="1" applyBorder="1" applyAlignment="1">
      <alignment horizontal="center" vertical="center"/>
    </xf>
    <xf numFmtId="49" fontId="31" fillId="0" borderId="13" xfId="0" applyNumberFormat="1" applyFont="1" applyBorder="1" applyAlignment="1">
      <alignment horizontal="left" vertical="center"/>
    </xf>
    <xf numFmtId="0" fontId="31" fillId="0" borderId="15" xfId="0" applyFont="1" applyBorder="1" applyAlignment="1">
      <alignment vertical="center" wrapText="1"/>
    </xf>
    <xf numFmtId="0" fontId="31" fillId="0" borderId="26" xfId="0" applyFont="1" applyBorder="1" applyAlignment="1">
      <alignment vertical="center" wrapText="1"/>
    </xf>
    <xf numFmtId="0" fontId="31" fillId="0" borderId="23" xfId="0" applyFont="1" applyBorder="1" applyAlignment="1">
      <alignment vertical="center" wrapText="1"/>
    </xf>
    <xf numFmtId="0" fontId="31" fillId="0" borderId="25" xfId="0" applyFont="1" applyBorder="1" applyAlignment="1">
      <alignment vertical="center" wrapText="1"/>
    </xf>
    <xf numFmtId="0" fontId="32" fillId="0" borderId="0" xfId="0" applyFont="1" applyAlignment="1">
      <alignment horizontal="center" vertical="center"/>
    </xf>
    <xf numFmtId="0" fontId="15" fillId="6" borderId="30" xfId="0" applyFont="1" applyFill="1" applyBorder="1" applyAlignment="1">
      <alignment horizontal="center" vertical="center"/>
    </xf>
    <xf numFmtId="0" fontId="4" fillId="6" borderId="5" xfId="0" applyFont="1" applyFill="1" applyBorder="1" applyAlignment="1">
      <alignment horizontal="center" vertical="center"/>
    </xf>
    <xf numFmtId="0" fontId="4" fillId="0" borderId="0" xfId="0" applyFont="1" applyAlignment="1">
      <alignment horizontal="center" vertical="center"/>
    </xf>
    <xf numFmtId="0" fontId="0" fillId="0" borderId="0" xfId="0" applyProtection="1">
      <alignment vertical="center"/>
      <protection locked="0"/>
    </xf>
    <xf numFmtId="49" fontId="0" fillId="0" borderId="23" xfId="0" applyNumberFormat="1" applyBorder="1" applyAlignment="1">
      <alignment horizontal="center" vertical="center"/>
    </xf>
    <xf numFmtId="0" fontId="0" fillId="0" borderId="15" xfId="0" applyBorder="1" applyAlignment="1">
      <alignment horizontal="left" vertical="center"/>
    </xf>
    <xf numFmtId="176" fontId="0" fillId="0" borderId="32" xfId="0" applyNumberFormat="1" applyBorder="1" applyAlignment="1">
      <alignment horizontal="center" vertical="center"/>
    </xf>
    <xf numFmtId="0" fontId="0" fillId="0" borderId="46" xfId="0" applyBorder="1" applyAlignment="1">
      <alignment horizontal="left" vertical="center"/>
    </xf>
    <xf numFmtId="0" fontId="0" fillId="6" borderId="16" xfId="0" applyFill="1" applyBorder="1" applyAlignment="1">
      <alignment horizontal="left" vertical="center"/>
    </xf>
    <xf numFmtId="0" fontId="0" fillId="6" borderId="16" xfId="0" applyFill="1" applyBorder="1" applyAlignment="1">
      <alignment horizontal="center" vertical="center"/>
    </xf>
    <xf numFmtId="0" fontId="0" fillId="0" borderId="46" xfId="0" applyBorder="1" applyAlignment="1">
      <alignment horizontal="left" vertical="center" wrapText="1"/>
    </xf>
    <xf numFmtId="0" fontId="11" fillId="0" borderId="0" xfId="2">
      <alignment vertical="center"/>
    </xf>
    <xf numFmtId="0" fontId="0" fillId="0" borderId="23" xfId="0" applyBorder="1" applyAlignment="1">
      <alignment vertical="center" shrinkToFit="1"/>
    </xf>
    <xf numFmtId="0" fontId="0" fillId="0" borderId="25" xfId="0" applyBorder="1" applyAlignment="1">
      <alignment vertical="center" shrinkToFit="1"/>
    </xf>
    <xf numFmtId="0" fontId="0" fillId="0" borderId="15" xfId="0" applyBorder="1" applyAlignment="1">
      <alignment horizontal="left" vertical="center" wrapText="1"/>
    </xf>
    <xf numFmtId="0" fontId="33" fillId="0" borderId="0" xfId="0" applyFont="1">
      <alignment vertical="center"/>
    </xf>
    <xf numFmtId="0" fontId="33" fillId="0" borderId="0" xfId="0" applyFont="1" applyAlignment="1">
      <alignment horizontal="left" vertical="center"/>
    </xf>
    <xf numFmtId="49" fontId="0" fillId="0" borderId="9" xfId="0" applyNumberFormat="1" applyBorder="1">
      <alignment vertical="center"/>
    </xf>
    <xf numFmtId="49" fontId="0" fillId="0" borderId="48" xfId="0" applyNumberFormat="1" applyBorder="1">
      <alignment vertical="center"/>
    </xf>
    <xf numFmtId="49" fontId="0" fillId="0" borderId="24" xfId="0" applyNumberFormat="1" applyBorder="1">
      <alignment vertical="center"/>
    </xf>
    <xf numFmtId="49" fontId="0" fillId="0" borderId="28" xfId="0" applyNumberFormat="1" applyBorder="1">
      <alignment vertical="center"/>
    </xf>
    <xf numFmtId="49" fontId="4" fillId="6" borderId="48" xfId="0" applyNumberFormat="1" applyFont="1" applyFill="1" applyBorder="1" applyProtection="1">
      <alignment vertical="center"/>
      <protection locked="0"/>
    </xf>
    <xf numFmtId="49" fontId="30" fillId="0" borderId="15" xfId="0" applyNumberFormat="1" applyFont="1" applyBorder="1" applyAlignment="1">
      <alignment vertical="center" wrapText="1"/>
    </xf>
    <xf numFmtId="49" fontId="30" fillId="0" borderId="26" xfId="0" applyNumberFormat="1" applyFont="1" applyBorder="1" applyAlignment="1">
      <alignment vertical="center" wrapText="1"/>
    </xf>
    <xf numFmtId="49" fontId="0" fillId="6" borderId="24" xfId="0" applyNumberFormat="1" applyFill="1" applyBorder="1" applyAlignment="1" applyProtection="1">
      <alignment vertical="center" wrapText="1"/>
      <protection locked="0"/>
    </xf>
    <xf numFmtId="49" fontId="0" fillId="6" borderId="28" xfId="0" applyNumberFormat="1" applyFill="1" applyBorder="1" applyAlignment="1" applyProtection="1">
      <alignment vertical="center" wrapText="1"/>
      <protection locked="0"/>
    </xf>
    <xf numFmtId="49" fontId="7" fillId="6" borderId="24" xfId="0" applyNumberFormat="1" applyFont="1" applyFill="1" applyBorder="1" applyAlignment="1" applyProtection="1">
      <alignment vertical="center" wrapText="1"/>
      <protection locked="0"/>
    </xf>
    <xf numFmtId="0" fontId="0" fillId="0" borderId="0" xfId="0" applyAlignment="1">
      <alignment vertical="center" wrapText="1"/>
    </xf>
    <xf numFmtId="0" fontId="6" fillId="0" borderId="0" xfId="0" applyFont="1" applyAlignment="1">
      <alignment horizontal="left" vertical="center"/>
    </xf>
    <xf numFmtId="0" fontId="4" fillId="6" borderId="29" xfId="0" applyFont="1" applyFill="1" applyBorder="1" applyAlignment="1">
      <alignment horizontal="center" vertical="center" shrinkToFit="1"/>
    </xf>
    <xf numFmtId="0" fontId="4" fillId="6" borderId="1"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6" fillId="6" borderId="1" xfId="0" applyFont="1" applyFill="1" applyBorder="1" applyAlignment="1">
      <alignment horizontal="left" vertical="center"/>
    </xf>
    <xf numFmtId="0" fontId="6" fillId="6" borderId="2" xfId="0" applyFont="1" applyFill="1" applyBorder="1" applyAlignment="1">
      <alignment horizontal="left" vertical="center"/>
    </xf>
    <xf numFmtId="0" fontId="6" fillId="6" borderId="3" xfId="0" applyFont="1" applyFill="1" applyBorder="1" applyAlignment="1">
      <alignment horizontal="left" vertical="center"/>
    </xf>
    <xf numFmtId="0" fontId="6" fillId="6" borderId="18" xfId="0" applyFont="1" applyFill="1" applyBorder="1" applyAlignment="1">
      <alignment horizontal="center" vertical="center" wrapText="1"/>
    </xf>
    <xf numFmtId="0" fontId="6" fillId="6" borderId="22" xfId="0" applyFont="1" applyFill="1" applyBorder="1" applyAlignment="1">
      <alignment horizontal="center" vertical="center"/>
    </xf>
    <xf numFmtId="0" fontId="0" fillId="0" borderId="9" xfId="0" applyBorder="1" applyAlignment="1">
      <alignment horizontal="left" vertical="top" wrapText="1"/>
    </xf>
    <xf numFmtId="0" fontId="4" fillId="0" borderId="44" xfId="0" applyFont="1" applyFill="1" applyBorder="1" applyAlignment="1">
      <alignment horizontal="center" vertical="center"/>
    </xf>
    <xf numFmtId="0" fontId="0" fillId="0" borderId="15" xfId="0" applyBorder="1" applyAlignment="1">
      <alignment horizontal="left" vertical="top" wrapText="1"/>
    </xf>
    <xf numFmtId="0" fontId="31" fillId="0" borderId="23" xfId="0" applyFont="1" applyBorder="1" applyAlignment="1">
      <alignment horizontal="right" vertical="center"/>
    </xf>
    <xf numFmtId="0" fontId="31" fillId="0" borderId="15" xfId="0" applyFont="1" applyBorder="1" applyAlignment="1">
      <alignment horizontal="center" vertical="center"/>
    </xf>
    <xf numFmtId="49" fontId="31" fillId="0" borderId="32" xfId="0" applyNumberFormat="1" applyFont="1" applyBorder="1" applyAlignment="1">
      <alignment horizontal="left" vertical="center"/>
    </xf>
    <xf numFmtId="0" fontId="4" fillId="0" borderId="24" xfId="0" applyFont="1" applyFill="1" applyBorder="1" applyAlignment="1">
      <alignment horizontal="center" vertical="center"/>
    </xf>
    <xf numFmtId="49" fontId="39" fillId="0" borderId="12" xfId="0" applyNumberFormat="1" applyFont="1" applyFill="1" applyBorder="1" applyAlignment="1">
      <alignment horizontal="center" vertical="center" shrinkToFit="1"/>
    </xf>
    <xf numFmtId="49" fontId="39" fillId="0" borderId="4" xfId="0" applyNumberFormat="1" applyFont="1" applyFill="1" applyBorder="1" applyAlignment="1">
      <alignment horizontal="center" vertical="center" shrinkToFit="1"/>
    </xf>
    <xf numFmtId="0" fontId="0" fillId="0" borderId="5" xfId="0" applyBorder="1" applyAlignment="1">
      <alignment horizontal="left" vertical="top" wrapText="1"/>
    </xf>
    <xf numFmtId="0" fontId="31" fillId="0" borderId="4" xfId="0" applyFont="1" applyBorder="1" applyAlignment="1">
      <alignment horizontal="right" vertical="center"/>
    </xf>
    <xf numFmtId="0" fontId="31" fillId="0" borderId="5" xfId="0" applyFont="1" applyBorder="1" applyAlignment="1">
      <alignment horizontal="center" vertical="center"/>
    </xf>
    <xf numFmtId="49" fontId="31" fillId="0" borderId="6" xfId="0" applyNumberFormat="1" applyFont="1" applyBorder="1" applyAlignment="1">
      <alignment horizontal="left" vertical="center"/>
    </xf>
    <xf numFmtId="0" fontId="4" fillId="0" borderId="49" xfId="0" applyFont="1" applyFill="1" applyBorder="1" applyAlignment="1">
      <alignment horizontal="center" vertical="center"/>
    </xf>
    <xf numFmtId="49" fontId="39" fillId="0" borderId="23" xfId="0" applyNumberFormat="1" applyFont="1" applyFill="1" applyBorder="1" applyAlignment="1">
      <alignment horizontal="center" vertical="center" shrinkToFit="1"/>
    </xf>
    <xf numFmtId="49" fontId="39" fillId="0" borderId="45" xfId="0" applyNumberFormat="1" applyFont="1" applyFill="1" applyBorder="1" applyAlignment="1">
      <alignment horizontal="center" vertical="center" shrinkToFit="1"/>
    </xf>
    <xf numFmtId="0" fontId="0" fillId="0" borderId="46" xfId="0" applyBorder="1" applyAlignment="1">
      <alignment horizontal="left" vertical="top" wrapText="1"/>
    </xf>
    <xf numFmtId="0" fontId="31" fillId="0" borderId="45" xfId="0" applyFont="1" applyBorder="1" applyAlignment="1">
      <alignment horizontal="right" vertical="center"/>
    </xf>
    <xf numFmtId="0" fontId="31" fillId="0" borderId="46" xfId="0" applyFont="1" applyBorder="1" applyAlignment="1">
      <alignment horizontal="center" vertical="center"/>
    </xf>
    <xf numFmtId="49" fontId="31" fillId="0" borderId="47" xfId="0" applyNumberFormat="1" applyFont="1" applyBorder="1" applyAlignment="1">
      <alignment horizontal="left" vertical="center"/>
    </xf>
    <xf numFmtId="0" fontId="4" fillId="0" borderId="50" xfId="0" applyFont="1" applyFill="1" applyBorder="1" applyAlignment="1">
      <alignment horizontal="center" vertical="center"/>
    </xf>
  </cellXfs>
  <cellStyles count="3">
    <cellStyle name="ハイパーリンク" xfId="2" builtinId="8"/>
    <cellStyle name="ハイパーリンク 2" xfId="1" xr:uid="{F025AB37-9A0B-4247-AFE5-57AE58677991}"/>
    <cellStyle name="標準" xfId="0" builtinId="0"/>
  </cellStyles>
  <dxfs count="25">
    <dxf>
      <fill>
        <patternFill>
          <bgColor rgb="FFCCCCFF"/>
        </patternFill>
      </fill>
    </dxf>
    <dxf>
      <font>
        <color theme="0" tint="-0.34998626667073579"/>
      </font>
    </dxf>
    <dxf>
      <fill>
        <patternFill>
          <bgColor rgb="FFCCCCFF"/>
        </patternFill>
      </fill>
    </dxf>
    <dxf>
      <font>
        <color theme="0" tint="-0.34998626667073579"/>
      </font>
    </dxf>
    <dxf>
      <font>
        <color theme="0"/>
      </font>
    </dxf>
    <dxf>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rgb="FFCCCCFF"/>
        </patternFill>
      </fill>
    </dxf>
    <dxf>
      <fill>
        <patternFill>
          <bgColor rgb="FFFFFF00"/>
        </patternFill>
      </fill>
    </dxf>
    <dxf>
      <font>
        <b/>
        <i val="0"/>
        <color rgb="FFFF0000"/>
      </font>
      <fill>
        <patternFill>
          <bgColor rgb="FFFFFF00"/>
        </patternFill>
      </fill>
    </dxf>
    <dxf>
      <fill>
        <patternFill>
          <bgColor rgb="FFFFFF00"/>
        </patternFill>
      </fill>
    </dxf>
    <dxf>
      <fill>
        <patternFill>
          <bgColor rgb="FFFFFF00"/>
        </patternFill>
      </fill>
    </dxf>
    <dxf>
      <fill>
        <patternFill>
          <bgColor rgb="FFFFFF00"/>
        </patternFill>
      </fill>
    </dxf>
    <dxf>
      <font>
        <color rgb="FF006600"/>
      </font>
    </dxf>
    <dxf>
      <font>
        <color rgb="FF0000FF"/>
      </font>
    </dxf>
    <dxf>
      <font>
        <color rgb="FF006600"/>
      </font>
    </dxf>
    <dxf>
      <font>
        <color rgb="FF0000FF"/>
      </font>
    </dxf>
    <dxf>
      <fill>
        <patternFill>
          <bgColor rgb="FFFFCC66"/>
        </patternFill>
      </fill>
    </dxf>
    <dxf>
      <fill>
        <patternFill>
          <bgColor theme="0" tint="-0.24994659260841701"/>
        </patternFill>
      </fill>
    </dxf>
    <dxf>
      <fill>
        <patternFill>
          <bgColor rgb="FFCCCCFF"/>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1"/>
      </font>
      <fill>
        <patternFill>
          <bgColor theme="0" tint="-0.24994659260841701"/>
        </patternFill>
      </fill>
    </dxf>
    <dxf>
      <font>
        <color theme="0" tint="-0.34998626667073579"/>
      </font>
    </dxf>
  </dxfs>
  <tableStyles count="0" defaultTableStyle="TableStyleMedium2" defaultPivotStyle="PivotStyleLight16"/>
  <colors>
    <mruColors>
      <color rgb="FFCCCCFF"/>
      <color rgb="FFFFCC66"/>
      <color rgb="FF006600"/>
      <color rgb="FF000066"/>
      <color rgb="FF0033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180975</xdr:colOff>
      <xdr:row>4</xdr:row>
      <xdr:rowOff>0</xdr:rowOff>
    </xdr:from>
    <xdr:to>
      <xdr:col>2</xdr:col>
      <xdr:colOff>609600</xdr:colOff>
      <xdr:row>7</xdr:row>
      <xdr:rowOff>200024</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180975" y="941294"/>
          <a:ext cx="899272" cy="939612"/>
          <a:chOff x="0" y="1028700"/>
          <a:chExt cx="895350" cy="942974"/>
        </a:xfrm>
      </xdr:grpSpPr>
      <xdr:sp macro="" textlink="">
        <xdr:nvSpPr>
          <xdr:cNvPr id="6" name="正方形/長方形 5">
            <a:extLst>
              <a:ext uri="{FF2B5EF4-FFF2-40B4-BE49-F238E27FC236}">
                <a16:creationId xmlns:a16="http://schemas.microsoft.com/office/drawing/2014/main" id="{00000000-0008-0000-0100-000006000000}"/>
              </a:ext>
            </a:extLst>
          </xdr:cNvPr>
          <xdr:cNvSpPr/>
        </xdr:nvSpPr>
        <xdr:spPr>
          <a:xfrm>
            <a:off x="0" y="1142999"/>
            <a:ext cx="895350" cy="828675"/>
          </a:xfrm>
          <a:prstGeom prst="rect">
            <a:avLst/>
          </a:prstGeom>
          <a:solidFill>
            <a:sysClr val="window" lastClr="FFFFFF"/>
          </a:solidFill>
          <a:ln w="28575">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58663" y="1028700"/>
            <a:ext cx="778024" cy="23609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overflow" horzOverflow="overflow" wrap="none" lIns="36000" tIns="0" rIns="36000" bIns="0" rtlCol="0" anchor="t">
            <a:noAutofit/>
          </a:bodyPr>
          <a:lstStyle/>
          <a:p>
            <a:r>
              <a:rPr kumimoji="1" lang="ja-JP" altLang="en-US" sz="1100"/>
              <a:t>機能行操作</a:t>
            </a:r>
          </a:p>
        </xdr:txBody>
      </xdr:sp>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57150" y="1266825"/>
                <a:ext cx="781050" cy="28575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機能追加</a:t>
                </a:r>
              </a:p>
            </xdr:txBody>
          </xdr:sp>
        </mc:Choice>
        <mc:Fallback/>
      </mc:AlternateContent>
      <mc:AlternateContent xmlns:mc="http://schemas.openxmlformats.org/markup-compatibility/2006">
        <mc:Choice xmlns:a14="http://schemas.microsoft.com/office/drawing/2010/main" Requires="a14">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33338" y="1581150"/>
                <a:ext cx="828675" cy="34290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ｶｯﾄ条件追加</a:t>
                </a:r>
              </a:p>
            </xdr:txBody>
          </xdr:sp>
        </mc:Choice>
        <mc:Fallback/>
      </mc:AlternateContent>
    </xdr:grpSp>
    <xdr:clientData/>
  </xdr:twoCellAnchor>
  <mc:AlternateContent xmlns:mc="http://schemas.openxmlformats.org/markup-compatibility/2006">
    <mc:Choice xmlns:a14="http://schemas.microsoft.com/office/drawing/2010/main" Requires="a14">
      <xdr:twoCellAnchor>
        <xdr:from>
          <xdr:col>22</xdr:col>
          <xdr:colOff>76200</xdr:colOff>
          <xdr:row>16</xdr:row>
          <xdr:rowOff>19050</xdr:rowOff>
        </xdr:from>
        <xdr:to>
          <xdr:col>24</xdr:col>
          <xdr:colOff>542925</xdr:colOff>
          <xdr:row>17</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定数値入力(CSWを設定して押下)</a:t>
              </a:r>
            </a:p>
            <a:p>
              <a:pPr algn="ctr" rtl="0">
                <a:defRPr sz="1000"/>
              </a:pPr>
              <a:r>
                <a:rPr lang="ja-JP" altLang="en-US" sz="1100" b="0" i="0" u="none" strike="noStrike" baseline="0">
                  <a:solidFill>
                    <a:srgbClr val="000000"/>
                  </a:solidFill>
                  <a:latin typeface="游ゴシック"/>
                  <a:ea typeface="游ゴシック"/>
                </a:rPr>
                <a:t>入力(CSW設定して押下)あああ</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16</xdr:row>
          <xdr:rowOff>19050</xdr:rowOff>
        </xdr:from>
        <xdr:to>
          <xdr:col>16</xdr:col>
          <xdr:colOff>2514600</xdr:colOff>
          <xdr:row>17</xdr:row>
          <xdr:rowOff>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関係式作成(セルを選択して実行)</a:t>
              </a:r>
            </a:p>
          </xdr:txBody>
        </xdr:sp>
        <xdr:clientData fPrintsWithSheet="0"/>
      </xdr:twoCellAnchor>
    </mc:Choice>
    <mc:Fallback/>
  </mc:AlternateContent>
  <xdr:twoCellAnchor>
    <xdr:from>
      <xdr:col>2</xdr:col>
      <xdr:colOff>690530</xdr:colOff>
      <xdr:row>17</xdr:row>
      <xdr:rowOff>104775</xdr:rowOff>
    </xdr:from>
    <xdr:to>
      <xdr:col>4</xdr:col>
      <xdr:colOff>1022848</xdr:colOff>
      <xdr:row>19</xdr:row>
      <xdr:rowOff>0</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161177" y="4172510"/>
          <a:ext cx="1833906" cy="500343"/>
          <a:chOff x="841185" y="2762250"/>
          <a:chExt cx="1660904" cy="504825"/>
        </a:xfrm>
      </xdr:grpSpPr>
      <xdr:sp macro="" textlink="">
        <xdr:nvSpPr>
          <xdr:cNvPr id="3" name="正方形/長方形 2">
            <a:extLst>
              <a:ext uri="{FF2B5EF4-FFF2-40B4-BE49-F238E27FC236}">
                <a16:creationId xmlns:a16="http://schemas.microsoft.com/office/drawing/2014/main" id="{00000000-0008-0000-0100-000003000000}"/>
              </a:ext>
            </a:extLst>
          </xdr:cNvPr>
          <xdr:cNvSpPr/>
        </xdr:nvSpPr>
        <xdr:spPr>
          <a:xfrm>
            <a:off x="841185" y="2867025"/>
            <a:ext cx="1660904" cy="400050"/>
          </a:xfrm>
          <a:prstGeom prst="rect">
            <a:avLst/>
          </a:prstGeom>
          <a:solidFill>
            <a:sysClr val="window" lastClr="FFFFFF"/>
          </a:solidFill>
          <a:ln w="28575">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52239" y="2762250"/>
            <a:ext cx="778024" cy="23609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overflow" horzOverflow="overflow" wrap="none" lIns="36000" tIns="0" rIns="36000" bIns="0" rtlCol="0" anchor="t">
            <a:spAutoFit/>
          </a:bodyPr>
          <a:lstStyle/>
          <a:p>
            <a:r>
              <a:rPr kumimoji="1" lang="ja-JP" altLang="en-US" sz="1100"/>
              <a:t>定数行操作</a:t>
            </a:r>
          </a:p>
        </xdr:txBody>
      </xdr:sp>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923925" y="2981325"/>
                <a:ext cx="257175" cy="238125"/>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1219200" y="2981325"/>
                <a:ext cx="266700" cy="238125"/>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mc:Choice>
        <mc:Fallback/>
      </mc:AlternateContent>
      <mc:AlternateContent xmlns:mc="http://schemas.openxmlformats.org/markup-compatibility/2006">
        <mc:Choice xmlns:a14="http://schemas.microsoft.com/office/drawing/2010/main" Requires="a14">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1504950" y="2981325"/>
                <a:ext cx="885825" cy="24765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自動ソート</a:t>
                </a:r>
              </a:p>
            </xdr:txBody>
          </xdr:sp>
        </mc:Choice>
        <mc:Fallback/>
      </mc:AlternateContent>
    </xdr:grpSp>
    <xdr:clientData/>
  </xdr:twoCellAnchor>
  <xdr:oneCellAnchor>
    <xdr:from>
      <xdr:col>11</xdr:col>
      <xdr:colOff>3676650</xdr:colOff>
      <xdr:row>14</xdr:row>
      <xdr:rowOff>95250</xdr:rowOff>
    </xdr:from>
    <xdr:ext cx="6289029" cy="558102"/>
    <xdr:sp macro="" textlink="">
      <xdr:nvSpPr>
        <xdr:cNvPr id="9" name="吹き出し: 四角形 8">
          <a:extLst>
            <a:ext uri="{FF2B5EF4-FFF2-40B4-BE49-F238E27FC236}">
              <a16:creationId xmlns:a16="http://schemas.microsoft.com/office/drawing/2014/main" id="{00000000-0008-0000-0100-000009000000}"/>
            </a:ext>
          </a:extLst>
        </xdr:cNvPr>
        <xdr:cNvSpPr/>
      </xdr:nvSpPr>
      <xdr:spPr>
        <a:xfrm>
          <a:off x="19364325" y="2047875"/>
          <a:ext cx="6289029" cy="558102"/>
        </a:xfrm>
        <a:prstGeom prst="wedgeRectCallout">
          <a:avLst>
            <a:gd name="adj1" fmla="val -11979"/>
            <a:gd name="adj2" fmla="val 147970"/>
          </a:avLst>
        </a:prstGeom>
      </xdr:spPr>
      <xdr:style>
        <a:lnRef idx="2">
          <a:schemeClr val="dk1"/>
        </a:lnRef>
        <a:fillRef idx="1">
          <a:schemeClr val="lt1"/>
        </a:fillRef>
        <a:effectRef idx="0">
          <a:schemeClr val="dk1"/>
        </a:effectRef>
        <a:fontRef idx="minor">
          <a:schemeClr val="dk1"/>
        </a:fontRef>
      </xdr:style>
      <xdr:txBody>
        <a:bodyPr vertOverflow="overflow" horzOverflow="overflow" wrap="non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latin typeface="Meiryo UI" panose="020B0604030504040204" pitchFamily="50" charset="-128"/>
              <a:ea typeface="Meiryo UI" panose="020B0604030504040204" pitchFamily="50" charset="-128"/>
            </a:rPr>
            <a:t>「元定数削除→新定数の時」や</a:t>
          </a:r>
          <a:r>
            <a:rPr kumimoji="1" lang="ja-JP" altLang="en-US" sz="1100" b="1">
              <a:latin typeface="Meiryo UI" panose="020B0604030504040204" pitchFamily="50" charset="-128"/>
              <a:ea typeface="Meiryo UI" panose="020B0604030504040204" pitchFamily="50" charset="-128"/>
            </a:rPr>
            <a:t>「元定数も残るが条件や</a:t>
          </a:r>
          <a:r>
            <a:rPr kumimoji="1" lang="en-US" altLang="ja-JP" sz="1100" b="1">
              <a:latin typeface="Meiryo UI" panose="020B0604030504040204" pitchFamily="50" charset="-128"/>
              <a:ea typeface="Meiryo UI" panose="020B0604030504040204" pitchFamily="50" charset="-128"/>
            </a:rPr>
            <a:t>CSW</a:t>
          </a:r>
          <a:r>
            <a:rPr kumimoji="1" lang="ja-JP" altLang="en-US" sz="1100" b="1">
              <a:latin typeface="Meiryo UI" panose="020B0604030504040204" pitchFamily="50" charset="-128"/>
              <a:ea typeface="Meiryo UI" panose="020B0604030504040204" pitchFamily="50" charset="-128"/>
            </a:rPr>
            <a:t>で区別した</a:t>
          </a:r>
          <a:r>
            <a:rPr kumimoji="1" lang="en-US" altLang="ja-JP" sz="1100" b="1">
              <a:latin typeface="Meiryo UI" panose="020B0604030504040204" pitchFamily="50" charset="-128"/>
              <a:ea typeface="Meiryo UI" panose="020B0604030504040204" pitchFamily="50" charset="-128"/>
            </a:rPr>
            <a:t>(</a:t>
          </a:r>
          <a:r>
            <a:rPr kumimoji="1" lang="ja-JP" altLang="en-US" sz="1100" b="1">
              <a:latin typeface="Meiryo UI" panose="020B0604030504040204" pitchFamily="50" charset="-128"/>
              <a:ea typeface="Meiryo UI" panose="020B0604030504040204" pitchFamily="50" charset="-128"/>
            </a:rPr>
            <a:t>機能拡張</a:t>
          </a:r>
          <a:r>
            <a:rPr kumimoji="1" lang="en-US" altLang="ja-JP" sz="1100" b="1">
              <a:latin typeface="Meiryo UI" panose="020B0604030504040204" pitchFamily="50" charset="-128"/>
              <a:ea typeface="Meiryo UI" panose="020B0604030504040204" pitchFamily="50" charset="-128"/>
            </a:rPr>
            <a:t>)</a:t>
          </a:r>
          <a:r>
            <a:rPr kumimoji="1" lang="ja-JP" altLang="en-US" sz="1100" b="1">
              <a:latin typeface="Meiryo UI" panose="020B0604030504040204" pitchFamily="50" charset="-128"/>
              <a:ea typeface="Meiryo UI" panose="020B0604030504040204" pitchFamily="50" charset="-128"/>
            </a:rPr>
            <a:t>時」</a:t>
          </a:r>
          <a:r>
            <a:rPr kumimoji="1" lang="ja-JP" altLang="en-US" sz="1100" b="0">
              <a:latin typeface="Meiryo UI" panose="020B0604030504040204" pitchFamily="50" charset="-128"/>
              <a:ea typeface="Meiryo UI" panose="020B0604030504040204" pitchFamily="50" charset="-128"/>
            </a:rPr>
            <a:t>に</a:t>
          </a:r>
          <a:br>
            <a:rPr kumimoji="1" lang="en-US" altLang="ja-JP" sz="1100">
              <a:latin typeface="Meiryo UI" panose="020B0604030504040204" pitchFamily="50" charset="-128"/>
              <a:ea typeface="Meiryo UI" panose="020B0604030504040204" pitchFamily="50" charset="-128"/>
            </a:rPr>
          </a:br>
          <a:r>
            <a:rPr kumimoji="1" lang="ja-JP" altLang="en-US" sz="1100">
              <a:latin typeface="Meiryo UI" panose="020B0604030504040204" pitchFamily="50" charset="-128"/>
              <a:ea typeface="Meiryo UI" panose="020B0604030504040204" pitchFamily="50" charset="-128"/>
            </a:rPr>
            <a:t>定数移植初期値として使える”元定数”を記載</a:t>
          </a:r>
          <a:r>
            <a:rPr kumimoji="1" lang="en-US" altLang="ja-JP" sz="1100">
              <a:latin typeface="Meiryo UI" panose="020B0604030504040204" pitchFamily="50" charset="-128"/>
              <a:ea typeface="Meiryo UI" panose="020B0604030504040204" pitchFamily="50" charset="-128"/>
            </a:rPr>
            <a:t>(</a:t>
          </a:r>
          <a:r>
            <a:rPr kumimoji="1" lang="ja-JP" altLang="en-US" sz="1100">
              <a:latin typeface="Meiryo UI" panose="020B0604030504040204" pitchFamily="50" charset="-128"/>
              <a:ea typeface="Meiryo UI" panose="020B0604030504040204" pitchFamily="50" charset="-128"/>
            </a:rPr>
            <a:t>特に移植しないと機能不整合出る場合の記入忘れに注意！</a:t>
          </a:r>
          <a:r>
            <a:rPr kumimoji="1" lang="en-US" altLang="ja-JP" sz="1100">
              <a:latin typeface="Meiryo UI" panose="020B0604030504040204" pitchFamily="50" charset="-128"/>
              <a:ea typeface="Meiryo UI" panose="020B0604030504040204" pitchFamily="50" charset="-128"/>
            </a:rPr>
            <a:t>)</a:t>
          </a:r>
          <a:endParaRPr kumimoji="1" lang="ja-JP" altLang="en-US" sz="1100">
            <a:latin typeface="Meiryo UI" panose="020B0604030504040204" pitchFamily="50" charset="-128"/>
            <a:ea typeface="Meiryo UI" panose="020B0604030504040204" pitchFamily="50" charset="-128"/>
          </a:endParaRPr>
        </a:p>
      </xdr:txBody>
    </xdr:sp>
    <xdr:clientData/>
  </xdr:oneCellAnchor>
  <xdr:twoCellAnchor>
    <xdr:from>
      <xdr:col>9</xdr:col>
      <xdr:colOff>342900</xdr:colOff>
      <xdr:row>3</xdr:row>
      <xdr:rowOff>57150</xdr:rowOff>
    </xdr:from>
    <xdr:to>
      <xdr:col>11</xdr:col>
      <xdr:colOff>3560511</xdr:colOff>
      <xdr:row>6</xdr:row>
      <xdr:rowOff>124265</xdr:rowOff>
    </xdr:to>
    <xdr:sp macro="" textlink="">
      <xdr:nvSpPr>
        <xdr:cNvPr id="10" name="吹き出し: 四角形 9">
          <a:extLst>
            <a:ext uri="{FF2B5EF4-FFF2-40B4-BE49-F238E27FC236}">
              <a16:creationId xmlns:a16="http://schemas.microsoft.com/office/drawing/2014/main" id="{00000000-0008-0000-0100-00000A000000}"/>
            </a:ext>
          </a:extLst>
        </xdr:cNvPr>
        <xdr:cNvSpPr/>
      </xdr:nvSpPr>
      <xdr:spPr>
        <a:xfrm>
          <a:off x="11972925" y="771525"/>
          <a:ext cx="7275261" cy="800540"/>
        </a:xfrm>
        <a:prstGeom prst="wedgeRectCallout">
          <a:avLst>
            <a:gd name="adj1" fmla="val -56000"/>
            <a:gd name="adj2" fmla="val 28027"/>
          </a:avLst>
        </a:prstGeom>
      </xdr:spPr>
      <xdr:style>
        <a:lnRef idx="2">
          <a:schemeClr val="dk1"/>
        </a:lnRef>
        <a:fillRef idx="1">
          <a:schemeClr val="lt1"/>
        </a:fillRef>
        <a:effectRef idx="0">
          <a:schemeClr val="dk1"/>
        </a:effectRef>
        <a:fontRef idx="minor">
          <a:schemeClr val="dk1"/>
        </a:fontRef>
      </xdr:style>
      <xdr:txBody>
        <a:bodyPr vertOverflow="overflow" horzOverflow="overflow" wrap="none"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ja-JP" sz="1100" b="1">
              <a:solidFill>
                <a:schemeClr val="dk1"/>
              </a:solidFill>
              <a:effectLst/>
              <a:latin typeface="+mn-lt"/>
              <a:ea typeface="+mn-ea"/>
              <a:cs typeface="+mn-cs"/>
            </a:rPr>
            <a:t>制御マスタ</a:t>
          </a:r>
          <a:r>
            <a:rPr kumimoji="1" lang="ja-JP" altLang="en-US" sz="1100" b="1">
              <a:solidFill>
                <a:schemeClr val="dk1"/>
              </a:solidFill>
              <a:effectLst/>
              <a:latin typeface="+mn-lt"/>
              <a:ea typeface="+mn-ea"/>
              <a:cs typeface="+mn-cs"/>
            </a:rPr>
            <a:t>と</a:t>
          </a:r>
          <a:r>
            <a:rPr kumimoji="1" lang="en-US" altLang="ja-JP" sz="1100" b="1">
              <a:solidFill>
                <a:schemeClr val="dk1"/>
              </a:solidFill>
              <a:effectLst/>
              <a:latin typeface="+mn-lt"/>
              <a:ea typeface="+mn-ea"/>
              <a:cs typeface="+mn-cs"/>
            </a:rPr>
            <a:t>DR</a:t>
          </a:r>
          <a:r>
            <a:rPr kumimoji="1" lang="ja-JP" altLang="en-US" sz="1100" b="1">
              <a:solidFill>
                <a:schemeClr val="dk1"/>
              </a:solidFill>
              <a:effectLst/>
              <a:latin typeface="+mn-lt"/>
              <a:ea typeface="+mn-ea"/>
              <a:cs typeface="+mn-cs"/>
            </a:rPr>
            <a:t>し</a:t>
          </a:r>
          <a:r>
            <a:rPr kumimoji="1" lang="ja-JP" altLang="ja-JP" sz="1100" b="1">
              <a:solidFill>
                <a:schemeClr val="dk1"/>
              </a:solidFill>
              <a:effectLst/>
              <a:latin typeface="+mn-lt"/>
              <a:ea typeface="+mn-ea"/>
              <a:cs typeface="+mn-cs"/>
            </a:rPr>
            <a:t>て、有効</a:t>
          </a:r>
          <a:r>
            <a:rPr kumimoji="1" lang="en-US" altLang="ja-JP" sz="1100" b="1">
              <a:solidFill>
                <a:schemeClr val="dk1"/>
              </a:solidFill>
              <a:effectLst/>
              <a:latin typeface="+mn-lt"/>
              <a:ea typeface="+mn-ea"/>
              <a:cs typeface="+mn-cs"/>
            </a:rPr>
            <a:t>/</a:t>
          </a:r>
          <a:r>
            <a:rPr kumimoji="1" lang="ja-JP" altLang="ja-JP" sz="1100" b="1">
              <a:solidFill>
                <a:schemeClr val="dk1"/>
              </a:solidFill>
              <a:effectLst/>
              <a:latin typeface="+mn-lt"/>
              <a:ea typeface="+mn-ea"/>
              <a:cs typeface="+mn-cs"/>
            </a:rPr>
            <a:t>機能カットを決定してください。</a:t>
          </a:r>
          <a:endParaRPr kumimoji="1" lang="en-US" altLang="ja-JP" sz="1100" b="1">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機能カットは、特殊な個別な標準化などで他機種にとってはうれしさが出ない機能で設定</a:t>
          </a:r>
          <a:endParaRPr kumimoji="1" lang="en-US" altLang="ja-JP" sz="110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他の判断によるｶｯﾄ推奨</a:t>
          </a:r>
          <a:r>
            <a:rPr kumimoji="1" lang="en-US" altLang="ja-JP" sz="1100">
              <a:solidFill>
                <a:schemeClr val="dk1"/>
              </a:solidFill>
              <a:effectLst/>
              <a:latin typeface="+mn-lt"/>
              <a:ea typeface="+mn-ea"/>
              <a:cs typeface="+mn-cs"/>
            </a:rPr>
            <a:t>(</a:t>
          </a:r>
          <a:r>
            <a:rPr kumimoji="1" lang="ja-JP" altLang="en-US" sz="1100">
              <a:solidFill>
                <a:schemeClr val="dk1"/>
              </a:solidFill>
              <a:effectLst/>
              <a:latin typeface="+mn-lt"/>
              <a:ea typeface="+mn-ea"/>
              <a:cs typeface="+mn-cs"/>
            </a:rPr>
            <a:t>と標準値設定</a:t>
          </a:r>
          <a:r>
            <a:rPr kumimoji="1" lang="en-US" altLang="ja-JP" sz="1100">
              <a:solidFill>
                <a:schemeClr val="dk1"/>
              </a:solidFill>
              <a:effectLst/>
              <a:latin typeface="+mn-lt"/>
              <a:ea typeface="+mn-ea"/>
              <a:cs typeface="+mn-cs"/>
            </a:rPr>
            <a:t>)</a:t>
          </a:r>
          <a:r>
            <a:rPr kumimoji="1" lang="ja-JP" altLang="en-US" sz="1100">
              <a:solidFill>
                <a:schemeClr val="dk1"/>
              </a:solidFill>
              <a:effectLst/>
              <a:latin typeface="+mn-lt"/>
              <a:ea typeface="+mn-ea"/>
              <a:cs typeface="+mn-cs"/>
            </a:rPr>
            <a:t>は、制御マスタと</a:t>
          </a:r>
          <a:r>
            <a:rPr kumimoji="1" lang="en-US" altLang="ja-JP" sz="1100">
              <a:solidFill>
                <a:schemeClr val="dk1"/>
              </a:solidFill>
              <a:effectLst/>
              <a:latin typeface="+mn-lt"/>
              <a:ea typeface="+mn-ea"/>
              <a:cs typeface="+mn-cs"/>
            </a:rPr>
            <a:t>DR</a:t>
          </a:r>
          <a:r>
            <a:rPr kumimoji="1" lang="ja-JP" altLang="en-US" sz="1100">
              <a:solidFill>
                <a:schemeClr val="dk1"/>
              </a:solidFill>
              <a:effectLst/>
              <a:latin typeface="+mn-lt"/>
              <a:ea typeface="+mn-ea"/>
              <a:cs typeface="+mn-cs"/>
            </a:rPr>
            <a:t>の上、理由を定数の役割や知見に残してください。</a:t>
          </a:r>
          <a:endParaRPr kumimoji="1" lang="en-US" altLang="ja-JP" sz="1100">
            <a:solidFill>
              <a:schemeClr val="dk1"/>
            </a:solidFill>
            <a:effectLst/>
            <a:latin typeface="+mn-lt"/>
            <a:ea typeface="+mn-ea"/>
            <a:cs typeface="+mn-cs"/>
          </a:endParaRPr>
        </a:p>
      </xdr:txBody>
    </xdr:sp>
    <xdr:clientData/>
  </xdr:twoCellAnchor>
  <xdr:oneCellAnchor>
    <xdr:from>
      <xdr:col>15</xdr:col>
      <xdr:colOff>390525</xdr:colOff>
      <xdr:row>14</xdr:row>
      <xdr:rowOff>133350</xdr:rowOff>
    </xdr:from>
    <xdr:ext cx="2545890" cy="558102"/>
    <xdr:sp macro="" textlink="">
      <xdr:nvSpPr>
        <xdr:cNvPr id="2" name="吹き出し: 四角形 1">
          <a:extLst>
            <a:ext uri="{FF2B5EF4-FFF2-40B4-BE49-F238E27FC236}">
              <a16:creationId xmlns:a16="http://schemas.microsoft.com/office/drawing/2014/main" id="{00000000-0008-0000-0100-000002000000}"/>
            </a:ext>
          </a:extLst>
        </xdr:cNvPr>
        <xdr:cNvSpPr/>
      </xdr:nvSpPr>
      <xdr:spPr>
        <a:xfrm>
          <a:off x="26412825" y="2085975"/>
          <a:ext cx="2545890" cy="558102"/>
        </a:xfrm>
        <a:prstGeom prst="wedgeRectCallout">
          <a:avLst>
            <a:gd name="adj1" fmla="val -20243"/>
            <a:gd name="adj2" fmla="val 37036"/>
          </a:avLst>
        </a:prstGeom>
      </xdr:spPr>
      <xdr:style>
        <a:lnRef idx="1">
          <a:schemeClr val="accent4"/>
        </a:lnRef>
        <a:fillRef idx="2">
          <a:schemeClr val="accent4"/>
        </a:fillRef>
        <a:effectRef idx="1">
          <a:schemeClr val="accent4"/>
        </a:effectRef>
        <a:fontRef idx="minor">
          <a:schemeClr val="dk1"/>
        </a:fontRef>
      </xdr:style>
      <xdr:txBody>
        <a:bodyPr vertOverflow="overflow" horzOverflow="overflow" wrap="non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a:latin typeface="Meiryo UI" panose="020B0604030504040204" pitchFamily="50" charset="-128"/>
              <a:ea typeface="Meiryo UI" panose="020B0604030504040204" pitchFamily="50" charset="-128"/>
            </a:rPr>
            <a:t>※</a:t>
          </a:r>
          <a:r>
            <a:rPr kumimoji="1" lang="ja-JP" altLang="en-US" sz="1100">
              <a:latin typeface="Meiryo UI" panose="020B0604030504040204" pitchFamily="50" charset="-128"/>
              <a:ea typeface="Meiryo UI" panose="020B0604030504040204" pitchFamily="50" charset="-128"/>
            </a:rPr>
            <a:t> 環境によってﾘｽﾄ表示のｽｸﾛｰﾙ不良有り</a:t>
          </a:r>
          <a:endParaRPr kumimoji="1" lang="en-US" altLang="ja-JP" sz="1100">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latin typeface="Meiryo UI" panose="020B0604030504040204" pitchFamily="50" charset="-128"/>
              <a:ea typeface="Meiryo UI" panose="020B0604030504040204" pitchFamily="50" charset="-128"/>
            </a:rPr>
            <a:t>　　矢印キーで操作して下さい</a:t>
          </a:r>
        </a:p>
      </xdr:txBody>
    </xdr:sp>
    <xdr:clientData/>
  </xdr:oneCellAnchor>
  <xdr:oneCellAnchor>
    <xdr:from>
      <xdr:col>11</xdr:col>
      <xdr:colOff>161925</xdr:colOff>
      <xdr:row>17</xdr:row>
      <xdr:rowOff>152400</xdr:rowOff>
    </xdr:from>
    <xdr:ext cx="3214278" cy="325217"/>
    <xdr:sp macro="" textlink="">
      <xdr:nvSpPr>
        <xdr:cNvPr id="11" name="吹き出し: 四角形 10">
          <a:extLst>
            <a:ext uri="{FF2B5EF4-FFF2-40B4-BE49-F238E27FC236}">
              <a16:creationId xmlns:a16="http://schemas.microsoft.com/office/drawing/2014/main" id="{00000000-0008-0000-0100-00000B000000}"/>
            </a:ext>
          </a:extLst>
        </xdr:cNvPr>
        <xdr:cNvSpPr/>
      </xdr:nvSpPr>
      <xdr:spPr>
        <a:xfrm>
          <a:off x="15849600" y="2828925"/>
          <a:ext cx="3214278" cy="325217"/>
        </a:xfrm>
        <a:prstGeom prst="wedgeRectCallout">
          <a:avLst>
            <a:gd name="adj1" fmla="val -13023"/>
            <a:gd name="adj2" fmla="val 98794"/>
          </a:avLst>
        </a:prstGeom>
      </xdr:spPr>
      <xdr:style>
        <a:lnRef idx="2">
          <a:schemeClr val="dk1"/>
        </a:lnRef>
        <a:fillRef idx="1">
          <a:schemeClr val="lt1"/>
        </a:fillRef>
        <a:effectRef idx="0">
          <a:schemeClr val="dk1"/>
        </a:effectRef>
        <a:fontRef idx="minor">
          <a:schemeClr val="dk1"/>
        </a:fontRef>
      </xdr:style>
      <xdr:txBody>
        <a:bodyPr vertOverflow="overflow" horzOverflow="overflow" wrap="non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latin typeface="Meiryo UI" panose="020B0604030504040204" pitchFamily="50" charset="-128"/>
              <a:ea typeface="Meiryo UI" panose="020B0604030504040204" pitchFamily="50" charset="-128"/>
            </a:rPr>
            <a:t>値変更などで役割が変わっていない定数は「－」を記入</a:t>
          </a:r>
        </a:p>
      </xdr:txBody>
    </xdr:sp>
    <xdr:clientData/>
  </xdr:oneCellAnchor>
  <xdr:oneCellAnchor>
    <xdr:from>
      <xdr:col>17</xdr:col>
      <xdr:colOff>342900</xdr:colOff>
      <xdr:row>17</xdr:row>
      <xdr:rowOff>171450</xdr:rowOff>
    </xdr:from>
    <xdr:ext cx="2287999" cy="325217"/>
    <xdr:sp macro="" textlink="">
      <xdr:nvSpPr>
        <xdr:cNvPr id="12" name="吹き出し: 四角形 11">
          <a:extLst>
            <a:ext uri="{FF2B5EF4-FFF2-40B4-BE49-F238E27FC236}">
              <a16:creationId xmlns:a16="http://schemas.microsoft.com/office/drawing/2014/main" id="{00000000-0008-0000-0100-00000C000000}"/>
            </a:ext>
          </a:extLst>
        </xdr:cNvPr>
        <xdr:cNvSpPr/>
      </xdr:nvSpPr>
      <xdr:spPr>
        <a:xfrm>
          <a:off x="32184975" y="2847975"/>
          <a:ext cx="2287999" cy="325217"/>
        </a:xfrm>
        <a:prstGeom prst="wedgeRectCallout">
          <a:avLst>
            <a:gd name="adj1" fmla="val -24080"/>
            <a:gd name="adj2" fmla="val 10930"/>
          </a:avLst>
        </a:prstGeom>
      </xdr:spPr>
      <xdr:style>
        <a:lnRef idx="2">
          <a:schemeClr val="dk1"/>
        </a:lnRef>
        <a:fillRef idx="1">
          <a:schemeClr val="lt1"/>
        </a:fillRef>
        <a:effectRef idx="0">
          <a:schemeClr val="dk1"/>
        </a:effectRef>
        <a:fontRef idx="minor">
          <a:schemeClr val="dk1"/>
        </a:fontRef>
      </xdr:style>
      <xdr:txBody>
        <a:bodyPr vertOverflow="overflow" horzOverflow="overflow" wrap="non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latin typeface="Meiryo UI" panose="020B0604030504040204" pitchFamily="50" charset="-128"/>
              <a:ea typeface="Meiryo UI" panose="020B0604030504040204" pitchFamily="50" charset="-128"/>
            </a:rPr>
            <a:t>過去登録と変化ない欄は「－」を記入</a:t>
          </a:r>
        </a:p>
      </xdr:txBody>
    </xdr:sp>
    <xdr:clientData/>
  </xdr:oneCellAnchor>
  <mc:AlternateContent xmlns:mc="http://schemas.openxmlformats.org/markup-compatibility/2006">
    <mc:Choice xmlns:a14="http://schemas.microsoft.com/office/drawing/2010/main" Requires="a14">
      <xdr:twoCellAnchor>
        <xdr:from>
          <xdr:col>6</xdr:col>
          <xdr:colOff>790575</xdr:colOff>
          <xdr:row>1</xdr:row>
          <xdr:rowOff>57150</xdr:rowOff>
        </xdr:from>
        <xdr:to>
          <xdr:col>7</xdr:col>
          <xdr:colOff>1504950</xdr:colOff>
          <xdr:row>2</xdr:row>
          <xdr:rowOff>57150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保存ﾌｫﾙﾀﾞ(SPO)を開く</a:t>
              </a:r>
            </a:p>
          </xdr:txBody>
        </xdr:sp>
        <xdr:clientData/>
      </xdr:twoCellAnchor>
    </mc:Choice>
    <mc:Fallback/>
  </mc:AlternateContent>
  <xdr:twoCellAnchor>
    <xdr:from>
      <xdr:col>6</xdr:col>
      <xdr:colOff>56030</xdr:colOff>
      <xdr:row>2</xdr:row>
      <xdr:rowOff>112059</xdr:rowOff>
    </xdr:from>
    <xdr:to>
      <xdr:col>8</xdr:col>
      <xdr:colOff>879360</xdr:colOff>
      <xdr:row>4</xdr:row>
      <xdr:rowOff>121721</xdr:rowOff>
    </xdr:to>
    <xdr:sp macro="" textlink="">
      <xdr:nvSpPr>
        <xdr:cNvPr id="13" name="吹き出し: 四角形 12">
          <a:extLst>
            <a:ext uri="{FF2B5EF4-FFF2-40B4-BE49-F238E27FC236}">
              <a16:creationId xmlns:a16="http://schemas.microsoft.com/office/drawing/2014/main" id="{39EF5950-56CD-4CB9-96D0-BFD84FCAD51E}"/>
            </a:ext>
          </a:extLst>
        </xdr:cNvPr>
        <xdr:cNvSpPr/>
      </xdr:nvSpPr>
      <xdr:spPr>
        <a:xfrm>
          <a:off x="7407089" y="582706"/>
          <a:ext cx="3647212" cy="480309"/>
        </a:xfrm>
        <a:prstGeom prst="wedgeRectCallout">
          <a:avLst>
            <a:gd name="adj1" fmla="val -14777"/>
            <a:gd name="adj2" fmla="val -68386"/>
          </a:avLst>
        </a:prstGeom>
      </xdr:spPr>
      <xdr:style>
        <a:lnRef idx="2">
          <a:schemeClr val="dk1"/>
        </a:lnRef>
        <a:fillRef idx="1">
          <a:schemeClr val="lt1"/>
        </a:fillRef>
        <a:effectRef idx="0">
          <a:schemeClr val="dk1"/>
        </a:effectRef>
        <a:fontRef idx="minor">
          <a:schemeClr val="dk1"/>
        </a:fontRef>
      </xdr:style>
      <xdr:txBody>
        <a:bodyPr vertOverflow="overflow" horzOverflow="overflow" wrap="none" lIns="18000" tIns="7200" rIns="18000" bIns="7200" rtlCol="0" anchor="t">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latin typeface="Meiryo UI" panose="020B0604030504040204" pitchFamily="50" charset="-128"/>
              <a:ea typeface="Meiryo UI" panose="020B0604030504040204" pitchFamily="50" charset="-128"/>
            </a:rPr>
            <a:t>次のﾀｲﾐﾝｸﾞに保存</a:t>
          </a:r>
          <a:r>
            <a:rPr kumimoji="1" lang="ja-JP" altLang="en-US" sz="1100">
              <a:latin typeface="Meiryo UI" panose="020B0604030504040204" pitchFamily="50" charset="-128"/>
              <a:ea typeface="Meiryo UI" panose="020B0604030504040204" pitchFamily="50" charset="-128"/>
            </a:rPr>
            <a:t>：①制御マスタ承認後 </a:t>
          </a:r>
          <a:r>
            <a:rPr kumimoji="1" lang="en-US" altLang="ja-JP" sz="1100">
              <a:latin typeface="Meiryo UI" panose="020B0604030504040204" pitchFamily="50" charset="-128"/>
              <a:ea typeface="Meiryo UI" panose="020B0604030504040204" pitchFamily="50" charset="-128"/>
            </a:rPr>
            <a:t>iSpirit</a:t>
          </a:r>
          <a:r>
            <a:rPr kumimoji="1" lang="ja-JP" altLang="en-US" sz="1100">
              <a:latin typeface="Meiryo UI" panose="020B0604030504040204" pitchFamily="50" charset="-128"/>
              <a:ea typeface="Meiryo UI" panose="020B0604030504040204" pitchFamily="50" charset="-128"/>
            </a:rPr>
            <a:t>正式登録時、</a:t>
          </a:r>
          <a:br>
            <a:rPr kumimoji="1" lang="en-US" altLang="ja-JP" sz="1100">
              <a:latin typeface="Meiryo UI" panose="020B0604030504040204" pitchFamily="50" charset="-128"/>
              <a:ea typeface="Meiryo UI" panose="020B0604030504040204" pitchFamily="50" charset="-128"/>
            </a:rPr>
          </a:br>
          <a:r>
            <a:rPr kumimoji="1" lang="ja-JP" altLang="en-US" sz="1100">
              <a:latin typeface="Meiryo UI" panose="020B0604030504040204" pitchFamily="50" charset="-128"/>
              <a:ea typeface="Meiryo UI" panose="020B0604030504040204" pitchFamily="50" charset="-128"/>
            </a:rPr>
            <a:t>　②標準定数切り分け</a:t>
          </a:r>
          <a:r>
            <a:rPr kumimoji="1" lang="en-US" altLang="ja-JP" sz="1100">
              <a:latin typeface="Meiryo UI" panose="020B0604030504040204" pitchFamily="50" charset="-128"/>
              <a:ea typeface="Meiryo UI" panose="020B0604030504040204" pitchFamily="50" charset="-128"/>
            </a:rPr>
            <a:t>W/G</a:t>
          </a:r>
          <a:r>
            <a:rPr kumimoji="1" lang="ja-JP" altLang="en-US" sz="1100">
              <a:latin typeface="Meiryo UI" panose="020B0604030504040204" pitchFamily="50" charset="-128"/>
              <a:ea typeface="Meiryo UI" panose="020B0604030504040204" pitchFamily="50" charset="-128"/>
            </a:rPr>
            <a:t>後 知見確定時、③マイナー発行時</a:t>
          </a:r>
        </a:p>
      </xdr:txBody>
    </xdr:sp>
    <xdr:clientData/>
  </xdr:twoCellAnchor>
  <xdr:oneCellAnchor>
    <xdr:from>
      <xdr:col>4</xdr:col>
      <xdr:colOff>935132</xdr:colOff>
      <xdr:row>15</xdr:row>
      <xdr:rowOff>174812</xdr:rowOff>
    </xdr:from>
    <xdr:ext cx="6231514" cy="325217"/>
    <xdr:sp macro="" textlink="">
      <xdr:nvSpPr>
        <xdr:cNvPr id="14" name="吹き出し: 四角形 13">
          <a:extLst>
            <a:ext uri="{FF2B5EF4-FFF2-40B4-BE49-F238E27FC236}">
              <a16:creationId xmlns:a16="http://schemas.microsoft.com/office/drawing/2014/main" id="{82FA0599-DAB7-E9B0-3695-9147E06F813A}"/>
            </a:ext>
          </a:extLst>
        </xdr:cNvPr>
        <xdr:cNvSpPr/>
      </xdr:nvSpPr>
      <xdr:spPr>
        <a:xfrm>
          <a:off x="2907367" y="2359959"/>
          <a:ext cx="6231514" cy="325217"/>
        </a:xfrm>
        <a:prstGeom prst="wedgeRectCallout">
          <a:avLst>
            <a:gd name="adj1" fmla="val -65380"/>
            <a:gd name="adj2" fmla="val 298644"/>
          </a:avLst>
        </a:prstGeom>
        <a:ln>
          <a:solidFill>
            <a:srgbClr val="FF0000"/>
          </a:solidFill>
        </a:ln>
      </xdr:spPr>
      <xdr:style>
        <a:lnRef idx="2">
          <a:schemeClr val="dk1"/>
        </a:lnRef>
        <a:fillRef idx="1">
          <a:schemeClr val="lt1"/>
        </a:fillRef>
        <a:effectRef idx="0">
          <a:schemeClr val="dk1"/>
        </a:effectRef>
        <a:fontRef idx="minor">
          <a:schemeClr val="dk1"/>
        </a:fontRef>
      </xdr:style>
      <xdr:txBody>
        <a:bodyPr vertOverflow="overflow" horzOverflow="overflow" wrap="non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u="sng">
              <a:latin typeface="Meiryo UI" panose="020B0604030504040204" pitchFamily="50" charset="-128"/>
              <a:ea typeface="Meiryo UI" panose="020B0604030504040204" pitchFamily="50" charset="-128"/>
            </a:rPr>
            <a:t>「項番」が同じ定数</a:t>
          </a:r>
          <a:r>
            <a:rPr kumimoji="1" lang="ja-JP" altLang="en-US" sz="1100" u="sng">
              <a:latin typeface="Meiryo UI" panose="020B0604030504040204" pitchFamily="50" charset="-128"/>
              <a:ea typeface="Meiryo UI" panose="020B0604030504040204" pitchFamily="50" charset="-128"/>
            </a:rPr>
            <a:t>は項番が機能カットされた時に”適合</a:t>
          </a:r>
          <a:r>
            <a:rPr kumimoji="1" lang="en-US" altLang="ja-JP" sz="1100" u="sng">
              <a:latin typeface="Meiryo UI" panose="020B0604030504040204" pitchFamily="50" charset="-128"/>
              <a:ea typeface="Meiryo UI" panose="020B0604030504040204" pitchFamily="50" charset="-128"/>
            </a:rPr>
            <a:t>(</a:t>
          </a:r>
          <a:r>
            <a:rPr kumimoji="1" lang="ja-JP" altLang="en-US" sz="1100" u="sng">
              <a:latin typeface="Meiryo UI" panose="020B0604030504040204" pitchFamily="50" charset="-128"/>
              <a:ea typeface="Meiryo UI" panose="020B0604030504040204" pitchFamily="50" charset="-128"/>
            </a:rPr>
            <a:t>管理</a:t>
          </a:r>
          <a:r>
            <a:rPr kumimoji="1" lang="en-US" altLang="ja-JP" sz="1100" u="sng">
              <a:latin typeface="Meiryo UI" panose="020B0604030504040204" pitchFamily="50" charset="-128"/>
              <a:ea typeface="Meiryo UI" panose="020B0604030504040204" pitchFamily="50" charset="-128"/>
            </a:rPr>
            <a:t>)</a:t>
          </a:r>
          <a:r>
            <a:rPr kumimoji="1" lang="ja-JP" altLang="en-US" sz="1100" u="sng">
              <a:latin typeface="Meiryo UI" panose="020B0604030504040204" pitchFamily="50" charset="-128"/>
              <a:ea typeface="Meiryo UI" panose="020B0604030504040204" pitchFamily="50" charset="-128"/>
            </a:rPr>
            <a:t>不要”として扱います</a:t>
          </a:r>
          <a:r>
            <a:rPr kumimoji="1" lang="ja-JP" altLang="en-US" sz="1100" u="none">
              <a:latin typeface="Meiryo UI" panose="020B0604030504040204" pitchFamily="50" charset="-128"/>
              <a:ea typeface="Meiryo UI" panose="020B0604030504040204" pitchFamily="50" charset="-128"/>
            </a:rPr>
            <a:t>。 正しく入力して下さい。</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18</xdr:row>
          <xdr:rowOff>38100</xdr:rowOff>
        </xdr:from>
        <xdr:to>
          <xdr:col>3</xdr:col>
          <xdr:colOff>1238250</xdr:colOff>
          <xdr:row>18</xdr:row>
          <xdr:rowOff>295275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↑にANDで追加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1276350</xdr:colOff>
          <xdr:row>18</xdr:row>
          <xdr:rowOff>38100</xdr:rowOff>
        </xdr:from>
        <xdr:to>
          <xdr:col>3</xdr:col>
          <xdr:colOff>2457450</xdr:colOff>
          <xdr:row>18</xdr:row>
          <xdr:rowOff>295275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↑にORで追加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2895600</xdr:colOff>
          <xdr:row>18</xdr:row>
          <xdr:rowOff>19050</xdr:rowOff>
        </xdr:from>
        <xdr:to>
          <xdr:col>4</xdr:col>
          <xdr:colOff>180975</xdr:colOff>
          <xdr:row>18</xdr:row>
          <xdr:rowOff>295275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↓の支援入力クリア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41</xdr:row>
          <xdr:rowOff>95250</xdr:rowOff>
        </xdr:from>
        <xdr:to>
          <xdr:col>3</xdr:col>
          <xdr:colOff>2438400</xdr:colOff>
          <xdr:row>42</xdr:row>
          <xdr:rowOff>180975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一覧転記用の関係式に変換・追加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41</xdr:row>
          <xdr:rowOff>95250</xdr:rowOff>
        </xdr:from>
        <xdr:to>
          <xdr:col>6</xdr:col>
          <xdr:colOff>685800</xdr:colOff>
          <xdr:row>42</xdr:row>
          <xdr:rowOff>180975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一覧の対象セルに転記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2657475</xdr:colOff>
          <xdr:row>12</xdr:row>
          <xdr:rowOff>47625</xdr:rowOff>
        </xdr:from>
        <xdr:to>
          <xdr:col>1</xdr:col>
          <xdr:colOff>838200</xdr:colOff>
          <xdr:row>13</xdr:row>
          <xdr:rowOff>47625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入力一括クリア</a:t>
              </a:r>
            </a:p>
          </xdr:txBody>
        </xdr:sp>
        <xdr:clientData fPrintsWithSheet="0"/>
      </xdr:twoCellAnchor>
    </mc:Choice>
    <mc:Fallback/>
  </mc:AlternateContent>
  <xdr:twoCellAnchor>
    <xdr:from>
      <xdr:col>2</xdr:col>
      <xdr:colOff>8283</xdr:colOff>
      <xdr:row>10</xdr:row>
      <xdr:rowOff>190500</xdr:rowOff>
    </xdr:from>
    <xdr:to>
      <xdr:col>2</xdr:col>
      <xdr:colOff>331305</xdr:colOff>
      <xdr:row>19</xdr:row>
      <xdr:rowOff>704022</xdr:rowOff>
    </xdr:to>
    <xdr:sp macro="" textlink="">
      <xdr:nvSpPr>
        <xdr:cNvPr id="2" name="左中かっこ 1">
          <a:extLst>
            <a:ext uri="{FF2B5EF4-FFF2-40B4-BE49-F238E27FC236}">
              <a16:creationId xmlns:a16="http://schemas.microsoft.com/office/drawing/2014/main" id="{00000000-0008-0000-0300-000002000000}"/>
            </a:ext>
          </a:extLst>
        </xdr:cNvPr>
        <xdr:cNvSpPr/>
      </xdr:nvSpPr>
      <xdr:spPr>
        <a:xfrm>
          <a:off x="3959087" y="2973457"/>
          <a:ext cx="323022" cy="3139108"/>
        </a:xfrm>
        <a:prstGeom prst="leftBrace">
          <a:avLst>
            <a:gd name="adj1" fmla="val 8333"/>
            <a:gd name="adj2" fmla="val 14796"/>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3</xdr:col>
          <xdr:colOff>2457450</xdr:colOff>
          <xdr:row>41</xdr:row>
          <xdr:rowOff>171450</xdr:rowOff>
        </xdr:from>
        <xdr:to>
          <xdr:col>4</xdr:col>
          <xdr:colOff>95250</xdr:colOff>
          <xdr:row>42</xdr:row>
          <xdr:rowOff>171450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上の記入のｸﾘｱ(次式準備)</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3.bin"/><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hyperlink" Target="file:///\\aplcretatmc\CRETA_AddOn\CRETACalibrationChecker\tekigou" TargetMode="External"/><Relationship Id="rId1" Type="http://schemas.openxmlformats.org/officeDocument/2006/relationships/hyperlink" Target="file:///\\aplcretatmc\CRETA_AddOn\CRETACalibrationChecker\tekigou\CRETACalibrationCheckerUserGuide.pdf" TargetMode="Externa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vmlDrawing" Target="../drawings/vmlDrawing3.vml"/><Relationship Id="rId10" Type="http://schemas.openxmlformats.org/officeDocument/2006/relationships/ctrlProp" Target="../ctrlProps/ctrlProp13.xml"/><Relationship Id="rId4" Type="http://schemas.openxmlformats.org/officeDocument/2006/relationships/drawing" Target="../drawings/drawing2.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0AF24-B584-4BB9-8E65-FB2A2B24FEEA}">
  <sheetPr codeName="Sheet3"/>
  <dimension ref="A1:D29"/>
  <sheetViews>
    <sheetView workbookViewId="0">
      <selection activeCell="I15" sqref="I15"/>
    </sheetView>
  </sheetViews>
  <sheetFormatPr defaultRowHeight="18.75"/>
  <cols>
    <col min="1" max="1" width="11.625" customWidth="1"/>
    <col min="2" max="2" width="13.25" customWidth="1"/>
    <col min="3" max="3" width="61.375" customWidth="1"/>
    <col min="4" max="4" width="14.5" customWidth="1"/>
  </cols>
  <sheetData>
    <row r="1" spans="1:4">
      <c r="A1" t="s">
        <v>242</v>
      </c>
    </row>
    <row r="2" spans="1:4">
      <c r="B2" s="15" t="s">
        <v>229</v>
      </c>
      <c r="C2" s="114"/>
    </row>
    <row r="3" spans="1:4">
      <c r="B3" s="15" t="s">
        <v>230</v>
      </c>
      <c r="C3" s="114"/>
    </row>
    <row r="4" spans="1:4">
      <c r="B4" s="15" t="s">
        <v>228</v>
      </c>
      <c r="C4" s="114"/>
    </row>
    <row r="5" spans="1:4">
      <c r="B5" s="15" t="s">
        <v>225</v>
      </c>
      <c r="C5" s="114"/>
    </row>
    <row r="6" spans="1:4">
      <c r="B6" s="15" t="s">
        <v>226</v>
      </c>
      <c r="C6" s="114"/>
    </row>
    <row r="7" spans="1:4">
      <c r="B7" s="15" t="s">
        <v>227</v>
      </c>
      <c r="C7" s="114"/>
    </row>
    <row r="9" spans="1:4">
      <c r="A9" t="s">
        <v>240</v>
      </c>
    </row>
    <row r="10" spans="1:4">
      <c r="B10" s="15" t="s">
        <v>241</v>
      </c>
    </row>
    <row r="13" spans="1:4" ht="19.5" thickBot="1">
      <c r="A13" t="s">
        <v>231</v>
      </c>
      <c r="C13" t="s">
        <v>232</v>
      </c>
    </row>
    <row r="14" spans="1:4" ht="19.5" thickBot="1">
      <c r="B14" s="107" t="s">
        <v>223</v>
      </c>
      <c r="C14" s="108" t="s">
        <v>4</v>
      </c>
      <c r="D14" s="109" t="s">
        <v>224</v>
      </c>
    </row>
    <row r="15" spans="1:4" ht="38.25" thickTop="1">
      <c r="B15" s="110" t="s">
        <v>295</v>
      </c>
      <c r="C15" s="136" t="s">
        <v>296</v>
      </c>
      <c r="D15" s="112">
        <v>45743</v>
      </c>
    </row>
    <row r="16" spans="1:4" ht="75">
      <c r="B16" s="110" t="s">
        <v>292</v>
      </c>
      <c r="C16" s="136" t="s">
        <v>294</v>
      </c>
      <c r="D16" s="112">
        <v>45743</v>
      </c>
    </row>
    <row r="17" spans="2:4" ht="37.5">
      <c r="B17" s="110" t="s">
        <v>293</v>
      </c>
      <c r="C17" s="136" t="s">
        <v>288</v>
      </c>
      <c r="D17" s="112">
        <v>45734</v>
      </c>
    </row>
    <row r="18" spans="2:4">
      <c r="B18" s="110" t="s">
        <v>280</v>
      </c>
      <c r="C18" s="133" t="s">
        <v>284</v>
      </c>
      <c r="D18" s="112">
        <v>45719</v>
      </c>
    </row>
    <row r="19" spans="2:4" ht="37.5">
      <c r="B19" s="110" t="s">
        <v>278</v>
      </c>
      <c r="C19" s="136" t="s">
        <v>279</v>
      </c>
      <c r="D19" s="112">
        <v>45666</v>
      </c>
    </row>
    <row r="20" spans="2:4">
      <c r="B20" s="110" t="s">
        <v>275</v>
      </c>
      <c r="C20" s="136" t="s">
        <v>277</v>
      </c>
      <c r="D20" s="112">
        <v>45666</v>
      </c>
    </row>
    <row r="21" spans="2:4" ht="37.5">
      <c r="B21" s="130" t="s">
        <v>271</v>
      </c>
      <c r="C21" s="140" t="s">
        <v>272</v>
      </c>
      <c r="D21" s="132">
        <v>45645</v>
      </c>
    </row>
    <row r="22" spans="2:4" ht="37.5">
      <c r="B22" s="110" t="s">
        <v>267</v>
      </c>
      <c r="C22" s="136" t="s">
        <v>268</v>
      </c>
      <c r="D22" s="112">
        <v>45629</v>
      </c>
    </row>
    <row r="23" spans="2:4" ht="37.5">
      <c r="B23" s="110" t="s">
        <v>265</v>
      </c>
      <c r="C23" s="136" t="s">
        <v>266</v>
      </c>
      <c r="D23" s="112">
        <v>45610</v>
      </c>
    </row>
    <row r="24" spans="2:4" ht="37.5">
      <c r="B24" s="110" t="s">
        <v>262</v>
      </c>
      <c r="C24" s="136" t="s">
        <v>263</v>
      </c>
      <c r="D24" s="112">
        <v>45574</v>
      </c>
    </row>
    <row r="25" spans="2:4">
      <c r="B25" s="110" t="s">
        <v>259</v>
      </c>
      <c r="C25" s="133" t="s">
        <v>260</v>
      </c>
      <c r="D25" s="112">
        <v>45574</v>
      </c>
    </row>
    <row r="26" spans="2:4">
      <c r="B26" s="110" t="s">
        <v>257</v>
      </c>
      <c r="C26" s="133" t="s">
        <v>258</v>
      </c>
      <c r="D26" s="112">
        <v>45573</v>
      </c>
    </row>
    <row r="27" spans="2:4">
      <c r="B27" s="130" t="s">
        <v>255</v>
      </c>
      <c r="C27" s="131" t="s">
        <v>256</v>
      </c>
      <c r="D27" s="132">
        <v>45569</v>
      </c>
    </row>
    <row r="28" spans="2:4">
      <c r="B28" s="110" t="s">
        <v>236</v>
      </c>
      <c r="C28" s="106" t="s">
        <v>237</v>
      </c>
      <c r="D28" s="112">
        <v>45567</v>
      </c>
    </row>
    <row r="29" spans="2:4" ht="19.5" thickBot="1">
      <c r="B29" s="111"/>
      <c r="C29" s="44"/>
      <c r="D29" s="113"/>
    </row>
  </sheetData>
  <phoneticPr fontId="3"/>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D1C2D-0B5F-4927-953F-5DF63DB0D976}">
  <sheetPr codeName="Sheet1">
    <outlinePr summaryBelow="0" summaryRight="0"/>
  </sheetPr>
  <dimension ref="A1:AF70"/>
  <sheetViews>
    <sheetView tabSelected="1" zoomScale="85" zoomScaleNormal="85" workbookViewId="0">
      <pane xSplit="9" ySplit="20" topLeftCell="J21" activePane="bottomRight" state="frozen"/>
      <selection pane="topRight" activeCell="J1" sqref="J1"/>
      <selection pane="bottomLeft" activeCell="A15" sqref="A15"/>
      <selection pane="bottomRight" activeCell="E68" sqref="E68"/>
    </sheetView>
  </sheetViews>
  <sheetFormatPr defaultRowHeight="18.75" outlineLevelRow="1" outlineLevelCol="1"/>
  <cols>
    <col min="1" max="1" width="6.125" customWidth="1"/>
    <col min="2" max="2" width="6" hidden="1" customWidth="1"/>
    <col min="3" max="3" width="10.625" customWidth="1"/>
    <col min="4" max="4" width="9.125" customWidth="1"/>
    <col min="5" max="5" width="40" customWidth="1"/>
    <col min="6" max="6" width="30.625" customWidth="1"/>
    <col min="7" max="7" width="12.125" customWidth="1"/>
    <col min="8" max="8" width="25" customWidth="1"/>
    <col min="9" max="9" width="20.5" customWidth="1"/>
    <col min="10" max="11" width="26.625" customWidth="1"/>
    <col min="12" max="12" width="55.375" customWidth="1"/>
    <col min="13" max="13" width="21.125" customWidth="1"/>
    <col min="14" max="14" width="29" customWidth="1"/>
    <col min="15" max="15" width="30.125" customWidth="1" outlineLevel="1"/>
    <col min="16" max="16" width="42.25" customWidth="1"/>
    <col min="17" max="17" width="34.125" customWidth="1" outlineLevel="1"/>
    <col min="18" max="18" width="29.125" customWidth="1"/>
    <col min="19" max="19" width="50.625" customWidth="1" outlineLevel="1"/>
    <col min="20" max="20" width="14" customWidth="1" outlineLevel="1"/>
    <col min="21" max="21" width="15.25" customWidth="1" outlineLevel="1"/>
    <col min="23" max="32" width="16.375" customWidth="1" outlineLevel="1"/>
  </cols>
  <sheetData>
    <row r="1" spans="3:21">
      <c r="D1" s="15" t="s">
        <v>109</v>
      </c>
      <c r="E1" s="21" t="s">
        <v>301</v>
      </c>
      <c r="F1" t="s">
        <v>270</v>
      </c>
      <c r="O1" s="18" t="s">
        <v>264</v>
      </c>
    </row>
    <row r="2" spans="3:21" outlineLevel="1">
      <c r="D2" s="15" t="s">
        <v>110</v>
      </c>
      <c r="E2" s="21" t="s">
        <v>302</v>
      </c>
      <c r="F2" t="s">
        <v>274</v>
      </c>
      <c r="O2" t="s">
        <v>173</v>
      </c>
    </row>
    <row r="3" spans="3:21" outlineLevel="1">
      <c r="C3" s="137"/>
      <c r="D3" s="15" t="s">
        <v>112</v>
      </c>
      <c r="O3" t="s">
        <v>183</v>
      </c>
    </row>
    <row r="4" spans="3:21" outlineLevel="1">
      <c r="D4" s="15" t="s">
        <v>111</v>
      </c>
      <c r="O4" t="s">
        <v>184</v>
      </c>
    </row>
    <row r="5" spans="3:21" ht="19.5" outlineLevel="1" thickBot="1">
      <c r="D5" s="15" t="s">
        <v>113</v>
      </c>
      <c r="E5" s="21" t="s">
        <v>297</v>
      </c>
      <c r="O5" t="s">
        <v>239</v>
      </c>
    </row>
    <row r="6" spans="3:21" ht="19.5" outlineLevel="1" thickBot="1">
      <c r="D6" s="142" t="s">
        <v>281</v>
      </c>
      <c r="F6" s="22" t="s">
        <v>269</v>
      </c>
      <c r="G6" s="23"/>
      <c r="H6" s="23"/>
      <c r="I6" s="162" t="s">
        <v>222</v>
      </c>
      <c r="O6" t="s">
        <v>174</v>
      </c>
    </row>
    <row r="7" spans="3:21" ht="19.5" outlineLevel="1" thickBot="1">
      <c r="C7" s="101"/>
      <c r="D7" s="102" t="s">
        <v>114</v>
      </c>
      <c r="E7" s="24" t="s">
        <v>235</v>
      </c>
      <c r="F7" s="25" t="s">
        <v>116</v>
      </c>
      <c r="G7" s="26" t="s">
        <v>117</v>
      </c>
      <c r="H7" s="103" t="s">
        <v>177</v>
      </c>
      <c r="I7" s="163"/>
      <c r="O7" t="s">
        <v>171</v>
      </c>
    </row>
    <row r="8" spans="3:21" ht="19.5" outlineLevel="1" thickTop="1">
      <c r="C8" s="101" t="s">
        <v>115</v>
      </c>
      <c r="D8" s="116" t="s">
        <v>299</v>
      </c>
      <c r="E8" s="115" t="s">
        <v>314</v>
      </c>
      <c r="F8" s="118" t="s">
        <v>321</v>
      </c>
      <c r="G8" s="119"/>
      <c r="H8" s="120"/>
      <c r="I8" s="105" t="s">
        <v>0</v>
      </c>
      <c r="U8" s="34"/>
    </row>
    <row r="9" spans="3:21" outlineLevel="1">
      <c r="C9" s="101" t="s">
        <v>300</v>
      </c>
      <c r="D9" s="171" t="s">
        <v>304</v>
      </c>
      <c r="E9" s="164" t="s">
        <v>315</v>
      </c>
      <c r="F9" s="118" t="s">
        <v>321</v>
      </c>
      <c r="G9" s="119"/>
      <c r="H9" s="120"/>
      <c r="I9" s="165" t="s">
        <v>0</v>
      </c>
      <c r="U9" s="34"/>
    </row>
    <row r="10" spans="3:21" outlineLevel="1">
      <c r="C10" s="101" t="s">
        <v>300</v>
      </c>
      <c r="D10" s="178" t="s">
        <v>306</v>
      </c>
      <c r="E10" s="166" t="s">
        <v>316</v>
      </c>
      <c r="F10" s="167" t="s">
        <v>321</v>
      </c>
      <c r="G10" s="168"/>
      <c r="H10" s="169"/>
      <c r="I10" s="170" t="s">
        <v>0</v>
      </c>
      <c r="U10" s="34"/>
    </row>
    <row r="11" spans="3:21" outlineLevel="1">
      <c r="C11" s="101" t="s">
        <v>300</v>
      </c>
      <c r="D11" s="179" t="s">
        <v>308</v>
      </c>
      <c r="E11" s="180" t="s">
        <v>317</v>
      </c>
      <c r="F11" s="181" t="s">
        <v>321</v>
      </c>
      <c r="G11" s="182"/>
      <c r="H11" s="183"/>
      <c r="I11" s="184" t="s">
        <v>0</v>
      </c>
      <c r="U11" s="34"/>
    </row>
    <row r="12" spans="3:21" outlineLevel="1">
      <c r="C12" s="101" t="s">
        <v>300</v>
      </c>
      <c r="D12" s="179" t="s">
        <v>310</v>
      </c>
      <c r="E12" s="180" t="s">
        <v>318</v>
      </c>
      <c r="F12" s="181" t="s">
        <v>321</v>
      </c>
      <c r="G12" s="182"/>
      <c r="H12" s="183"/>
      <c r="I12" s="184" t="s">
        <v>0</v>
      </c>
      <c r="U12" s="34"/>
    </row>
    <row r="13" spans="3:21" outlineLevel="1">
      <c r="C13" s="101" t="s">
        <v>300</v>
      </c>
      <c r="D13" s="172" t="s">
        <v>312</v>
      </c>
      <c r="E13" s="173" t="s">
        <v>319</v>
      </c>
      <c r="F13" s="174" t="s">
        <v>321</v>
      </c>
      <c r="G13" s="175"/>
      <c r="H13" s="176"/>
      <c r="I13" s="177" t="s">
        <v>0</v>
      </c>
      <c r="U13" s="34"/>
    </row>
    <row r="14" spans="3:21" ht="19.5" outlineLevel="1" thickBot="1">
      <c r="C14" s="101" t="s">
        <v>300</v>
      </c>
      <c r="D14" s="171" t="s">
        <v>313</v>
      </c>
      <c r="E14" s="164" t="s">
        <v>320</v>
      </c>
      <c r="F14" s="118" t="s">
        <v>321</v>
      </c>
      <c r="G14" s="119"/>
      <c r="H14" s="120"/>
      <c r="I14" s="165" t="s">
        <v>0</v>
      </c>
      <c r="U14" s="34"/>
    </row>
    <row r="15" spans="3:21" ht="19.5" outlineLevel="1" thickBot="1">
      <c r="C15" s="101" t="s">
        <v>118</v>
      </c>
      <c r="D15" s="117"/>
      <c r="E15" s="28" t="s">
        <v>238</v>
      </c>
      <c r="F15" s="29"/>
      <c r="G15" s="30"/>
      <c r="H15" s="104"/>
      <c r="I15" s="31"/>
      <c r="T15" s="56" t="s">
        <v>198</v>
      </c>
      <c r="U15" s="96">
        <v>1</v>
      </c>
    </row>
    <row r="16" spans="3:21" outlineLevel="1">
      <c r="D16" s="32"/>
      <c r="E16" s="33"/>
      <c r="G16" s="33"/>
      <c r="H16" s="34"/>
      <c r="I16" s="34"/>
      <c r="J16" s="34"/>
      <c r="S16" t="s">
        <v>200</v>
      </c>
      <c r="U16" s="56" t="s">
        <v>201</v>
      </c>
    </row>
    <row r="17" spans="1:32">
      <c r="D17" s="154" t="str" cm="1">
        <f t="array" ref="D17">IF(OR((SUMPRODUCT((E21:E70&lt;&gt;"")*(C21:C70&lt;&gt;"一致")*(D21:D70="")) &gt; 0),OR(COUNTIF(リスト!$F$4:$F$45,_xlfn._xlws.FILTER(D21:D70,D21:D70&lt;&gt;""))=0)), "項番の入力が未完了", "")</f>
        <v/>
      </c>
      <c r="E17" s="33"/>
      <c r="G17" s="33"/>
      <c r="H17" s="34"/>
      <c r="I17" s="34"/>
      <c r="J17" s="34"/>
      <c r="L17" t="str" cm="1">
        <f t="array" ref="L17">IF(SUMPRODUCT((E21:E70&lt;&gt;"")*(C21:C70&lt;&gt;"一致")*(C21:C70&lt;&gt;"削除")*(L21:L70="")) &gt; 0, "定数の役割の入力が完了していません", "")</f>
        <v/>
      </c>
      <c r="S17" t="s">
        <v>199</v>
      </c>
    </row>
    <row r="18" spans="1:32" ht="24.75" thickBot="1">
      <c r="C18" s="1" t="s">
        <v>119</v>
      </c>
      <c r="D18" s="35"/>
      <c r="E18" s="1"/>
      <c r="F18" s="1"/>
      <c r="G18" s="1"/>
      <c r="H18" s="1"/>
      <c r="I18" s="1"/>
      <c r="J18" s="1"/>
      <c r="K18" s="1"/>
      <c r="L18" s="1"/>
      <c r="M18" s="1"/>
      <c r="N18" s="1"/>
      <c r="O18" s="86" t="s">
        <v>182</v>
      </c>
      <c r="P18" s="1"/>
      <c r="Q18" s="86" t="s">
        <v>182</v>
      </c>
      <c r="R18" s="2" t="s">
        <v>253</v>
      </c>
      <c r="S18" s="2"/>
      <c r="T18" s="2"/>
      <c r="U18" s="2"/>
      <c r="V18" s="4"/>
      <c r="W18" s="3" t="s">
        <v>254</v>
      </c>
      <c r="X18" s="4"/>
      <c r="Y18" s="4"/>
      <c r="Z18" s="4"/>
      <c r="AA18" s="4"/>
      <c r="AB18" s="4"/>
      <c r="AC18" s="4"/>
      <c r="AD18" s="4"/>
      <c r="AE18" s="4"/>
      <c r="AF18" s="4"/>
    </row>
    <row r="19" spans="1:32" ht="23.25" customHeight="1" thickBot="1">
      <c r="A19" s="141" t="s">
        <v>282</v>
      </c>
      <c r="D19" s="36"/>
      <c r="K19" s="125" t="s">
        <v>215</v>
      </c>
      <c r="L19" s="128"/>
      <c r="M19" s="156" t="s">
        <v>233</v>
      </c>
      <c r="N19" s="157"/>
      <c r="O19" s="158"/>
      <c r="P19" s="156" t="s">
        <v>1</v>
      </c>
      <c r="Q19" s="158"/>
      <c r="R19" s="156" t="s">
        <v>2</v>
      </c>
      <c r="S19" s="157"/>
      <c r="T19" s="157"/>
      <c r="U19" s="158"/>
      <c r="V19" t="s">
        <v>202</v>
      </c>
      <c r="W19" s="159" t="s">
        <v>3</v>
      </c>
      <c r="X19" s="160"/>
      <c r="Y19" s="160"/>
      <c r="Z19" s="160"/>
      <c r="AA19" s="160"/>
      <c r="AB19" s="160"/>
      <c r="AC19" s="160"/>
      <c r="AD19" s="160"/>
      <c r="AE19" s="160"/>
      <c r="AF19" s="161"/>
    </row>
    <row r="20" spans="1:32">
      <c r="A20" s="134" t="s">
        <v>120</v>
      </c>
      <c r="B20" s="37" t="s">
        <v>121</v>
      </c>
      <c r="C20" s="135" t="s">
        <v>122</v>
      </c>
      <c r="D20" s="155" t="s">
        <v>114</v>
      </c>
      <c r="E20" s="39" t="s">
        <v>123</v>
      </c>
      <c r="F20" s="40" t="s">
        <v>124</v>
      </c>
      <c r="G20" s="39" t="s">
        <v>125</v>
      </c>
      <c r="H20" s="41" t="s">
        <v>126</v>
      </c>
      <c r="I20" s="38" t="s">
        <v>127</v>
      </c>
      <c r="J20" s="100" t="s">
        <v>128</v>
      </c>
      <c r="K20" s="126" t="s">
        <v>129</v>
      </c>
      <c r="L20" s="71" t="s">
        <v>130</v>
      </c>
      <c r="M20" s="5" t="s">
        <v>4</v>
      </c>
      <c r="N20" s="6" t="s">
        <v>234</v>
      </c>
      <c r="O20" s="7" t="s">
        <v>172</v>
      </c>
      <c r="P20" s="8" t="s">
        <v>176</v>
      </c>
      <c r="Q20" s="8" t="s">
        <v>5</v>
      </c>
      <c r="R20" s="9" t="s">
        <v>6</v>
      </c>
      <c r="S20" s="127" t="s">
        <v>175</v>
      </c>
      <c r="T20" s="6" t="s">
        <v>7</v>
      </c>
      <c r="U20" s="10" t="s">
        <v>8</v>
      </c>
      <c r="V20" s="11" t="s">
        <v>9</v>
      </c>
      <c r="W20" s="12" t="s">
        <v>10</v>
      </c>
      <c r="X20" s="13" t="s">
        <v>11</v>
      </c>
      <c r="Y20" s="13" t="s">
        <v>12</v>
      </c>
      <c r="Z20" s="13" t="s">
        <v>13</v>
      </c>
      <c r="AA20" s="13" t="s">
        <v>14</v>
      </c>
      <c r="AB20" s="13" t="s">
        <v>15</v>
      </c>
      <c r="AC20" s="13" t="s">
        <v>16</v>
      </c>
      <c r="AD20" s="13" t="s">
        <v>17</v>
      </c>
      <c r="AE20" s="13" t="s">
        <v>18</v>
      </c>
      <c r="AF20" s="14" t="s">
        <v>19</v>
      </c>
    </row>
    <row r="21" spans="1:32">
      <c r="A21" s="47" t="s">
        <v>283</v>
      </c>
      <c r="B21" s="47">
        <v>1</v>
      </c>
      <c r="C21" s="27" t="s">
        <v>291</v>
      </c>
      <c r="D21" s="148" t="s">
        <v>298</v>
      </c>
      <c r="E21" s="121" t="s">
        <v>322</v>
      </c>
      <c r="F21" s="20" t="s">
        <v>326</v>
      </c>
      <c r="G21" s="19" t="s">
        <v>321</v>
      </c>
      <c r="H21" s="47" t="s">
        <v>331</v>
      </c>
      <c r="I21" s="47" t="s">
        <v>135</v>
      </c>
      <c r="J21" s="123"/>
      <c r="K21" s="75"/>
      <c r="L21" s="20" t="s">
        <v>326</v>
      </c>
      <c r="M21" s="138"/>
      <c r="N21" s="72"/>
      <c r="O21" s="75"/>
      <c r="P21" s="74"/>
      <c r="Q21" s="42"/>
      <c r="R21" s="27"/>
      <c r="S21" s="72"/>
      <c r="T21" s="20"/>
      <c r="U21" s="42"/>
      <c r="V21" s="47"/>
      <c r="W21" s="80"/>
      <c r="X21" s="49"/>
      <c r="Y21" s="82"/>
      <c r="Z21" s="49"/>
      <c r="AA21" s="82"/>
      <c r="AB21" s="49"/>
      <c r="AC21" s="51"/>
      <c r="AD21" s="84"/>
      <c r="AE21" s="51"/>
      <c r="AF21" s="53"/>
    </row>
    <row r="22" spans="1:32">
      <c r="A22" s="47" t="s">
        <v>283</v>
      </c>
      <c r="B22" s="47">
        <v>2</v>
      </c>
      <c r="C22" s="27" t="s">
        <v>291</v>
      </c>
      <c r="D22" s="148" t="s">
        <v>298</v>
      </c>
      <c r="E22" s="121" t="s">
        <v>323</v>
      </c>
      <c r="F22" s="20" t="s">
        <v>327</v>
      </c>
      <c r="G22" s="19" t="s">
        <v>330</v>
      </c>
      <c r="H22" s="47">
        <v>1</v>
      </c>
      <c r="I22" s="47" t="s">
        <v>332</v>
      </c>
      <c r="J22" s="123"/>
      <c r="K22" s="75"/>
      <c r="L22" s="20" t="s">
        <v>327</v>
      </c>
      <c r="M22" s="138"/>
      <c r="N22" s="72"/>
      <c r="O22" s="75"/>
      <c r="P22" s="74"/>
      <c r="Q22" s="42"/>
      <c r="R22" s="27"/>
      <c r="S22" s="72"/>
      <c r="T22" s="20"/>
      <c r="U22" s="42"/>
      <c r="V22" s="47"/>
      <c r="W22" s="80"/>
      <c r="X22" s="49"/>
      <c r="Y22" s="82"/>
      <c r="Z22" s="49"/>
      <c r="AA22" s="82"/>
      <c r="AB22" s="49"/>
      <c r="AC22" s="51"/>
      <c r="AD22" s="84"/>
      <c r="AE22" s="51"/>
      <c r="AF22" s="53"/>
    </row>
    <row r="23" spans="1:32">
      <c r="A23" s="47" t="s">
        <v>283</v>
      </c>
      <c r="B23" s="47">
        <v>3</v>
      </c>
      <c r="C23" s="27" t="s">
        <v>291</v>
      </c>
      <c r="D23" s="148" t="s">
        <v>298</v>
      </c>
      <c r="E23" s="121" t="s">
        <v>324</v>
      </c>
      <c r="F23" s="20" t="s">
        <v>328</v>
      </c>
      <c r="G23" s="19" t="s">
        <v>330</v>
      </c>
      <c r="H23" s="47">
        <v>0</v>
      </c>
      <c r="I23" s="47" t="s">
        <v>332</v>
      </c>
      <c r="J23" s="123"/>
      <c r="K23" s="75"/>
      <c r="L23" s="20" t="s">
        <v>328</v>
      </c>
      <c r="M23" s="138"/>
      <c r="N23" s="72"/>
      <c r="O23" s="75"/>
      <c r="P23" s="74"/>
      <c r="Q23" s="42"/>
      <c r="R23" s="27"/>
      <c r="S23" s="72"/>
      <c r="T23" s="20"/>
      <c r="U23" s="42"/>
      <c r="V23" s="47"/>
      <c r="W23" s="80"/>
      <c r="X23" s="49"/>
      <c r="Y23" s="82"/>
      <c r="Z23" s="49"/>
      <c r="AA23" s="82"/>
      <c r="AB23" s="49"/>
      <c r="AC23" s="51"/>
      <c r="AD23" s="84"/>
      <c r="AE23" s="51"/>
      <c r="AF23" s="53"/>
    </row>
    <row r="24" spans="1:32">
      <c r="A24" s="47" t="s">
        <v>283</v>
      </c>
      <c r="B24" s="47">
        <v>4</v>
      </c>
      <c r="C24" s="27" t="s">
        <v>291</v>
      </c>
      <c r="D24" s="148" t="s">
        <v>298</v>
      </c>
      <c r="E24" s="121" t="s">
        <v>325</v>
      </c>
      <c r="F24" s="20" t="s">
        <v>329</v>
      </c>
      <c r="G24" s="19" t="s">
        <v>330</v>
      </c>
      <c r="H24" s="47">
        <v>2</v>
      </c>
      <c r="I24" s="47" t="s">
        <v>332</v>
      </c>
      <c r="J24" s="123"/>
      <c r="K24" s="75"/>
      <c r="L24" s="20" t="s">
        <v>329</v>
      </c>
      <c r="M24" s="138"/>
      <c r="N24" s="72"/>
      <c r="O24" s="75"/>
      <c r="P24" s="74"/>
      <c r="Q24" s="42"/>
      <c r="R24" s="27"/>
      <c r="S24" s="72"/>
      <c r="T24" s="20"/>
      <c r="U24" s="42"/>
      <c r="V24" s="47"/>
      <c r="W24" s="80"/>
      <c r="X24" s="49"/>
      <c r="Y24" s="82"/>
      <c r="Z24" s="49"/>
      <c r="AA24" s="82"/>
      <c r="AB24" s="49"/>
      <c r="AC24" s="51"/>
      <c r="AD24" s="84"/>
      <c r="AE24" s="51"/>
      <c r="AF24" s="53"/>
    </row>
    <row r="25" spans="1:32">
      <c r="A25" s="47" t="s">
        <v>283</v>
      </c>
      <c r="B25" s="47">
        <v>5</v>
      </c>
      <c r="C25" s="27" t="s">
        <v>291</v>
      </c>
      <c r="D25" s="148" t="s">
        <v>298</v>
      </c>
      <c r="E25" s="121" t="s">
        <v>333</v>
      </c>
      <c r="F25" s="20" t="s">
        <v>335</v>
      </c>
      <c r="G25" s="19" t="s">
        <v>321</v>
      </c>
      <c r="H25" s="47" t="s">
        <v>337</v>
      </c>
      <c r="I25" s="47" t="s">
        <v>332</v>
      </c>
      <c r="J25" s="123"/>
      <c r="K25" s="75"/>
      <c r="L25" s="78" t="s">
        <v>477</v>
      </c>
      <c r="M25" s="138"/>
      <c r="N25" s="72"/>
      <c r="O25" s="75"/>
      <c r="P25" s="74"/>
      <c r="Q25" s="42"/>
      <c r="R25" s="27"/>
      <c r="S25" s="72"/>
      <c r="T25" s="20"/>
      <c r="U25" s="42"/>
      <c r="V25" s="47"/>
      <c r="W25" s="80"/>
      <c r="X25" s="49"/>
      <c r="Y25" s="82"/>
      <c r="Z25" s="49"/>
      <c r="AA25" s="82"/>
      <c r="AB25" s="49"/>
      <c r="AC25" s="51"/>
      <c r="AD25" s="84"/>
      <c r="AE25" s="51"/>
      <c r="AF25" s="53"/>
    </row>
    <row r="26" spans="1:32">
      <c r="A26" s="47" t="s">
        <v>283</v>
      </c>
      <c r="B26" s="47">
        <v>6</v>
      </c>
      <c r="C26" s="27" t="s">
        <v>291</v>
      </c>
      <c r="D26" s="148" t="s">
        <v>298</v>
      </c>
      <c r="E26" s="121" t="s">
        <v>334</v>
      </c>
      <c r="F26" s="20" t="s">
        <v>336</v>
      </c>
      <c r="G26" s="19" t="s">
        <v>321</v>
      </c>
      <c r="H26" s="47" t="s">
        <v>338</v>
      </c>
      <c r="I26" s="47" t="s">
        <v>332</v>
      </c>
      <c r="J26" s="123"/>
      <c r="K26" s="75"/>
      <c r="L26" s="78" t="s">
        <v>478</v>
      </c>
      <c r="M26" s="138"/>
      <c r="N26" s="72"/>
      <c r="O26" s="75"/>
      <c r="P26" s="74"/>
      <c r="Q26" s="42"/>
      <c r="R26" s="27"/>
      <c r="S26" s="72"/>
      <c r="T26" s="20"/>
      <c r="U26" s="42"/>
      <c r="V26" s="47"/>
      <c r="W26" s="80"/>
      <c r="X26" s="49"/>
      <c r="Y26" s="82"/>
      <c r="Z26" s="49"/>
      <c r="AA26" s="82"/>
      <c r="AB26" s="49"/>
      <c r="AC26" s="51"/>
      <c r="AD26" s="84"/>
      <c r="AE26" s="51"/>
      <c r="AF26" s="53"/>
    </row>
    <row r="27" spans="1:32">
      <c r="A27" s="47" t="s">
        <v>283</v>
      </c>
      <c r="B27" s="47">
        <v>7</v>
      </c>
      <c r="C27" s="27" t="s">
        <v>291</v>
      </c>
      <c r="D27" s="148" t="s">
        <v>298</v>
      </c>
      <c r="E27" s="121" t="s">
        <v>339</v>
      </c>
      <c r="F27" s="20" t="s">
        <v>347</v>
      </c>
      <c r="G27" s="19" t="s">
        <v>321</v>
      </c>
      <c r="H27" s="47" t="s">
        <v>355</v>
      </c>
      <c r="I27" s="47" t="s">
        <v>332</v>
      </c>
      <c r="J27" s="123"/>
      <c r="K27" s="75"/>
      <c r="L27" s="78" t="s">
        <v>367</v>
      </c>
      <c r="M27" s="138"/>
      <c r="N27" s="72"/>
      <c r="O27" s="75"/>
      <c r="P27" s="74"/>
      <c r="Q27" s="42"/>
      <c r="R27" s="27"/>
      <c r="S27" s="72"/>
      <c r="T27" s="20"/>
      <c r="U27" s="42"/>
      <c r="V27" s="47"/>
      <c r="W27" s="80"/>
      <c r="X27" s="49"/>
      <c r="Y27" s="82"/>
      <c r="Z27" s="49"/>
      <c r="AA27" s="82"/>
      <c r="AB27" s="49"/>
      <c r="AC27" s="51"/>
      <c r="AD27" s="84"/>
      <c r="AE27" s="51"/>
      <c r="AF27" s="53"/>
    </row>
    <row r="28" spans="1:32">
      <c r="A28" s="47" t="s">
        <v>283</v>
      </c>
      <c r="B28" s="47">
        <v>8</v>
      </c>
      <c r="C28" s="27" t="s">
        <v>291</v>
      </c>
      <c r="D28" s="148" t="s">
        <v>298</v>
      </c>
      <c r="E28" s="121" t="s">
        <v>340</v>
      </c>
      <c r="F28" s="20" t="s">
        <v>348</v>
      </c>
      <c r="G28" s="19" t="s">
        <v>321</v>
      </c>
      <c r="H28" s="47" t="s">
        <v>356</v>
      </c>
      <c r="I28" s="47" t="s">
        <v>332</v>
      </c>
      <c r="J28" s="123"/>
      <c r="K28" s="75"/>
      <c r="L28" s="78" t="s">
        <v>368</v>
      </c>
      <c r="M28" s="138"/>
      <c r="N28" s="72"/>
      <c r="O28" s="75"/>
      <c r="P28" s="74"/>
      <c r="Q28" s="42"/>
      <c r="R28" s="27"/>
      <c r="S28" s="72"/>
      <c r="T28" s="20"/>
      <c r="U28" s="42"/>
      <c r="V28" s="47"/>
      <c r="W28" s="80"/>
      <c r="X28" s="49"/>
      <c r="Y28" s="82"/>
      <c r="Z28" s="49"/>
      <c r="AA28" s="82"/>
      <c r="AB28" s="49"/>
      <c r="AC28" s="51"/>
      <c r="AD28" s="84"/>
      <c r="AE28" s="51"/>
      <c r="AF28" s="53"/>
    </row>
    <row r="29" spans="1:32">
      <c r="A29" s="47" t="s">
        <v>283</v>
      </c>
      <c r="B29" s="47">
        <v>9</v>
      </c>
      <c r="C29" s="27" t="s">
        <v>291</v>
      </c>
      <c r="D29" s="148" t="s">
        <v>298</v>
      </c>
      <c r="E29" s="121" t="s">
        <v>341</v>
      </c>
      <c r="F29" s="20" t="s">
        <v>349</v>
      </c>
      <c r="G29" s="19" t="s">
        <v>321</v>
      </c>
      <c r="H29" s="47" t="s">
        <v>357</v>
      </c>
      <c r="I29" s="47" t="s">
        <v>332</v>
      </c>
      <c r="J29" s="123"/>
      <c r="K29" s="75"/>
      <c r="L29" s="78" t="s">
        <v>369</v>
      </c>
      <c r="M29" s="138"/>
      <c r="N29" s="72"/>
      <c r="O29" s="75"/>
      <c r="P29" s="74"/>
      <c r="Q29" s="42"/>
      <c r="R29" s="27"/>
      <c r="S29" s="72"/>
      <c r="T29" s="20"/>
      <c r="U29" s="42"/>
      <c r="V29" s="47"/>
      <c r="W29" s="80"/>
      <c r="X29" s="49"/>
      <c r="Y29" s="82"/>
      <c r="Z29" s="49"/>
      <c r="AA29" s="82"/>
      <c r="AB29" s="49"/>
      <c r="AC29" s="51"/>
      <c r="AD29" s="84"/>
      <c r="AE29" s="51"/>
      <c r="AF29" s="53"/>
    </row>
    <row r="30" spans="1:32">
      <c r="A30" s="47" t="s">
        <v>283</v>
      </c>
      <c r="B30" s="47">
        <v>10</v>
      </c>
      <c r="C30" s="27" t="s">
        <v>291</v>
      </c>
      <c r="D30" s="148" t="s">
        <v>298</v>
      </c>
      <c r="E30" s="121" t="s">
        <v>342</v>
      </c>
      <c r="F30" s="20" t="s">
        <v>350</v>
      </c>
      <c r="G30" s="19" t="s">
        <v>321</v>
      </c>
      <c r="H30" s="47" t="s">
        <v>358</v>
      </c>
      <c r="I30" s="47" t="s">
        <v>332</v>
      </c>
      <c r="J30" s="123"/>
      <c r="K30" s="75"/>
      <c r="L30" s="78" t="s">
        <v>370</v>
      </c>
      <c r="M30" s="138"/>
      <c r="N30" s="72"/>
      <c r="O30" s="75"/>
      <c r="P30" s="74"/>
      <c r="Q30" s="42"/>
      <c r="R30" s="27"/>
      <c r="S30" s="72"/>
      <c r="T30" s="20"/>
      <c r="U30" s="42"/>
      <c r="V30" s="47"/>
      <c r="W30" s="80"/>
      <c r="X30" s="49"/>
      <c r="Y30" s="82"/>
      <c r="Z30" s="49"/>
      <c r="AA30" s="82"/>
      <c r="AB30" s="49"/>
      <c r="AC30" s="51"/>
      <c r="AD30" s="84"/>
      <c r="AE30" s="51"/>
      <c r="AF30" s="53"/>
    </row>
    <row r="31" spans="1:32">
      <c r="A31" s="47" t="s">
        <v>283</v>
      </c>
      <c r="B31" s="47">
        <v>11</v>
      </c>
      <c r="C31" s="27" t="s">
        <v>291</v>
      </c>
      <c r="D31" s="148" t="s">
        <v>298</v>
      </c>
      <c r="E31" s="121" t="s">
        <v>343</v>
      </c>
      <c r="F31" s="20" t="s">
        <v>351</v>
      </c>
      <c r="G31" s="19" t="s">
        <v>321</v>
      </c>
      <c r="H31" s="47" t="s">
        <v>359</v>
      </c>
      <c r="I31" s="47" t="s">
        <v>332</v>
      </c>
      <c r="J31" s="123"/>
      <c r="K31" s="75"/>
      <c r="L31" s="78" t="s">
        <v>371</v>
      </c>
      <c r="M31" s="138"/>
      <c r="N31" s="72"/>
      <c r="O31" s="75"/>
      <c r="P31" s="74"/>
      <c r="Q31" s="42"/>
      <c r="R31" s="27"/>
      <c r="S31" s="72"/>
      <c r="T31" s="20"/>
      <c r="U31" s="42"/>
      <c r="V31" s="47"/>
      <c r="W31" s="80"/>
      <c r="X31" s="49"/>
      <c r="Y31" s="82"/>
      <c r="Z31" s="49"/>
      <c r="AA31" s="82"/>
      <c r="AB31" s="49"/>
      <c r="AC31" s="51"/>
      <c r="AD31" s="84"/>
      <c r="AE31" s="51"/>
      <c r="AF31" s="53"/>
    </row>
    <row r="32" spans="1:32">
      <c r="A32" s="47" t="s">
        <v>283</v>
      </c>
      <c r="B32" s="47">
        <v>12</v>
      </c>
      <c r="C32" s="27" t="s">
        <v>291</v>
      </c>
      <c r="D32" s="148" t="s">
        <v>298</v>
      </c>
      <c r="E32" s="121" t="s">
        <v>344</v>
      </c>
      <c r="F32" s="20" t="s">
        <v>352</v>
      </c>
      <c r="G32" s="19" t="s">
        <v>321</v>
      </c>
      <c r="H32" s="47" t="s">
        <v>360</v>
      </c>
      <c r="I32" s="47" t="s">
        <v>332</v>
      </c>
      <c r="J32" s="123"/>
      <c r="K32" s="75"/>
      <c r="L32" s="78" t="s">
        <v>372</v>
      </c>
      <c r="M32" s="138"/>
      <c r="N32" s="72"/>
      <c r="O32" s="75"/>
      <c r="P32" s="74"/>
      <c r="Q32" s="42"/>
      <c r="R32" s="27"/>
      <c r="S32" s="72"/>
      <c r="T32" s="20"/>
      <c r="U32" s="42"/>
      <c r="V32" s="47"/>
      <c r="W32" s="80"/>
      <c r="X32" s="49"/>
      <c r="Y32" s="82"/>
      <c r="Z32" s="49"/>
      <c r="AA32" s="82"/>
      <c r="AB32" s="49"/>
      <c r="AC32" s="51"/>
      <c r="AD32" s="84"/>
      <c r="AE32" s="51"/>
      <c r="AF32" s="53"/>
    </row>
    <row r="33" spans="1:32">
      <c r="A33" s="47" t="s">
        <v>283</v>
      </c>
      <c r="B33" s="47">
        <v>13</v>
      </c>
      <c r="C33" s="27" t="s">
        <v>291</v>
      </c>
      <c r="D33" s="148" t="s">
        <v>298</v>
      </c>
      <c r="E33" s="121" t="s">
        <v>345</v>
      </c>
      <c r="F33" s="20" t="s">
        <v>353</v>
      </c>
      <c r="G33" s="19" t="s">
        <v>321</v>
      </c>
      <c r="H33" s="47" t="s">
        <v>361</v>
      </c>
      <c r="I33" s="47" t="s">
        <v>332</v>
      </c>
      <c r="J33" s="123"/>
      <c r="K33" s="75"/>
      <c r="L33" s="78" t="s">
        <v>373</v>
      </c>
      <c r="M33" s="138"/>
      <c r="N33" s="72"/>
      <c r="O33" s="75"/>
      <c r="P33" s="74"/>
      <c r="Q33" s="42"/>
      <c r="R33" s="27"/>
      <c r="S33" s="72"/>
      <c r="T33" s="20"/>
      <c r="U33" s="42"/>
      <c r="V33" s="47"/>
      <c r="W33" s="80"/>
      <c r="X33" s="49"/>
      <c r="Y33" s="82"/>
      <c r="Z33" s="49"/>
      <c r="AA33" s="82"/>
      <c r="AB33" s="49"/>
      <c r="AC33" s="51"/>
      <c r="AD33" s="84"/>
      <c r="AE33" s="51"/>
      <c r="AF33" s="53"/>
    </row>
    <row r="34" spans="1:32">
      <c r="A34" s="47" t="s">
        <v>283</v>
      </c>
      <c r="B34" s="47">
        <v>14</v>
      </c>
      <c r="C34" s="27" t="s">
        <v>291</v>
      </c>
      <c r="D34" s="148" t="s">
        <v>298</v>
      </c>
      <c r="E34" s="121" t="s">
        <v>346</v>
      </c>
      <c r="F34" s="20" t="s">
        <v>354</v>
      </c>
      <c r="G34" s="19" t="s">
        <v>321</v>
      </c>
      <c r="H34" s="47" t="s">
        <v>362</v>
      </c>
      <c r="I34" s="47" t="s">
        <v>332</v>
      </c>
      <c r="J34" s="123"/>
      <c r="K34" s="75"/>
      <c r="L34" s="78" t="s">
        <v>374</v>
      </c>
      <c r="M34" s="138"/>
      <c r="N34" s="72"/>
      <c r="O34" s="75"/>
      <c r="P34" s="74"/>
      <c r="Q34" s="42"/>
      <c r="R34" s="27"/>
      <c r="S34" s="72"/>
      <c r="T34" s="20"/>
      <c r="U34" s="42"/>
      <c r="V34" s="47"/>
      <c r="W34" s="80"/>
      <c r="X34" s="49"/>
      <c r="Y34" s="82"/>
      <c r="Z34" s="49"/>
      <c r="AA34" s="82"/>
      <c r="AB34" s="49"/>
      <c r="AC34" s="51"/>
      <c r="AD34" s="84"/>
      <c r="AE34" s="51"/>
      <c r="AF34" s="53"/>
    </row>
    <row r="35" spans="1:32">
      <c r="A35" s="47" t="s">
        <v>283</v>
      </c>
      <c r="B35" s="47">
        <v>15</v>
      </c>
      <c r="C35" s="27" t="s">
        <v>363</v>
      </c>
      <c r="D35" s="148" t="s">
        <v>303</v>
      </c>
      <c r="E35" s="121" t="s">
        <v>364</v>
      </c>
      <c r="F35" s="20" t="s">
        <v>365</v>
      </c>
      <c r="G35" s="19" t="s">
        <v>321</v>
      </c>
      <c r="H35" s="47" t="s">
        <v>366</v>
      </c>
      <c r="I35" s="47" t="s">
        <v>332</v>
      </c>
      <c r="J35" s="123"/>
      <c r="K35" s="75"/>
      <c r="L35" s="78" t="s">
        <v>365</v>
      </c>
      <c r="M35" s="138" t="s">
        <v>249</v>
      </c>
      <c r="N35" s="72" t="s">
        <v>364</v>
      </c>
      <c r="O35" s="75"/>
      <c r="P35" s="74"/>
      <c r="Q35" s="42"/>
      <c r="R35" s="27"/>
      <c r="S35" s="72"/>
      <c r="T35" s="20"/>
      <c r="U35" s="42"/>
      <c r="V35" s="47"/>
      <c r="W35" s="80"/>
      <c r="X35" s="49"/>
      <c r="Y35" s="82"/>
      <c r="Z35" s="49"/>
      <c r="AA35" s="82"/>
      <c r="AB35" s="49"/>
      <c r="AC35" s="51"/>
      <c r="AD35" s="84"/>
      <c r="AE35" s="51"/>
      <c r="AF35" s="53"/>
    </row>
    <row r="36" spans="1:32" ht="54">
      <c r="A36" s="47" t="s">
        <v>283</v>
      </c>
      <c r="B36" s="47">
        <v>16</v>
      </c>
      <c r="C36" s="27" t="s">
        <v>363</v>
      </c>
      <c r="D36" s="148" t="s">
        <v>305</v>
      </c>
      <c r="E36" s="121" t="s">
        <v>392</v>
      </c>
      <c r="F36" s="20" t="s">
        <v>393</v>
      </c>
      <c r="G36" s="19" t="s">
        <v>321</v>
      </c>
      <c r="H36" s="47">
        <v>40</v>
      </c>
      <c r="I36" s="47" t="s">
        <v>332</v>
      </c>
      <c r="J36" s="123" t="s">
        <v>394</v>
      </c>
      <c r="K36" s="75" t="s">
        <v>395</v>
      </c>
      <c r="L36" s="78" t="s">
        <v>476</v>
      </c>
      <c r="M36" s="138"/>
      <c r="N36" s="72"/>
      <c r="O36" s="75"/>
      <c r="P36" s="74"/>
      <c r="Q36" s="42"/>
      <c r="R36" s="27"/>
      <c r="S36" s="72"/>
      <c r="T36" s="20"/>
      <c r="U36" s="42"/>
      <c r="V36" s="47"/>
      <c r="W36" s="80"/>
      <c r="X36" s="49"/>
      <c r="Y36" s="82"/>
      <c r="Z36" s="49"/>
      <c r="AA36" s="82"/>
      <c r="AB36" s="49"/>
      <c r="AC36" s="51"/>
      <c r="AD36" s="84"/>
      <c r="AE36" s="51"/>
      <c r="AF36" s="53"/>
    </row>
    <row r="37" spans="1:32" ht="27">
      <c r="A37" s="47" t="s">
        <v>283</v>
      </c>
      <c r="B37" s="47">
        <v>17</v>
      </c>
      <c r="C37" s="27" t="s">
        <v>363</v>
      </c>
      <c r="D37" s="148" t="s">
        <v>305</v>
      </c>
      <c r="E37" s="121" t="s">
        <v>396</v>
      </c>
      <c r="F37" s="20" t="s">
        <v>397</v>
      </c>
      <c r="G37" s="19" t="s">
        <v>321</v>
      </c>
      <c r="H37" s="47">
        <v>42</v>
      </c>
      <c r="I37" s="47" t="s">
        <v>332</v>
      </c>
      <c r="J37" s="123" t="s">
        <v>398</v>
      </c>
      <c r="K37" s="75" t="s">
        <v>399</v>
      </c>
      <c r="L37" s="78" t="s">
        <v>476</v>
      </c>
      <c r="M37" s="138"/>
      <c r="N37" s="72"/>
      <c r="O37" s="75"/>
      <c r="P37" s="74"/>
      <c r="Q37" s="42"/>
      <c r="R37" s="27"/>
      <c r="S37" s="72"/>
      <c r="T37" s="20"/>
      <c r="U37" s="42"/>
      <c r="V37" s="47"/>
      <c r="W37" s="80"/>
      <c r="X37" s="49"/>
      <c r="Y37" s="82"/>
      <c r="Z37" s="49"/>
      <c r="AA37" s="82"/>
      <c r="AB37" s="49"/>
      <c r="AC37" s="51"/>
      <c r="AD37" s="84"/>
      <c r="AE37" s="51"/>
      <c r="AF37" s="53"/>
    </row>
    <row r="38" spans="1:32" ht="67.5">
      <c r="A38" s="47" t="s">
        <v>283</v>
      </c>
      <c r="B38" s="47">
        <v>18</v>
      </c>
      <c r="C38" s="27" t="s">
        <v>363</v>
      </c>
      <c r="D38" s="148" t="s">
        <v>305</v>
      </c>
      <c r="E38" s="121" t="s">
        <v>400</v>
      </c>
      <c r="F38" s="20" t="s">
        <v>401</v>
      </c>
      <c r="G38" s="19" t="s">
        <v>321</v>
      </c>
      <c r="H38" s="47">
        <v>44</v>
      </c>
      <c r="I38" s="47" t="s">
        <v>332</v>
      </c>
      <c r="J38" s="123" t="s">
        <v>402</v>
      </c>
      <c r="K38" s="75" t="s">
        <v>403</v>
      </c>
      <c r="L38" s="78" t="s">
        <v>476</v>
      </c>
      <c r="M38" s="138"/>
      <c r="N38" s="72"/>
      <c r="O38" s="75"/>
      <c r="P38" s="74"/>
      <c r="Q38" s="42"/>
      <c r="R38" s="27"/>
      <c r="S38" s="72"/>
      <c r="T38" s="20"/>
      <c r="U38" s="42"/>
      <c r="V38" s="47"/>
      <c r="W38" s="80"/>
      <c r="X38" s="49"/>
      <c r="Y38" s="82"/>
      <c r="Z38" s="49"/>
      <c r="AA38" s="82"/>
      <c r="AB38" s="49"/>
      <c r="AC38" s="51"/>
      <c r="AD38" s="84"/>
      <c r="AE38" s="51"/>
      <c r="AF38" s="53"/>
    </row>
    <row r="39" spans="1:32">
      <c r="A39" s="47" t="s">
        <v>283</v>
      </c>
      <c r="B39" s="47">
        <v>19</v>
      </c>
      <c r="C39" s="27" t="s">
        <v>375</v>
      </c>
      <c r="D39" s="148" t="s">
        <v>305</v>
      </c>
      <c r="E39" s="121" t="s">
        <v>404</v>
      </c>
      <c r="F39" s="20" t="s">
        <v>405</v>
      </c>
      <c r="G39" s="19" t="s">
        <v>321</v>
      </c>
      <c r="H39" s="47">
        <v>46</v>
      </c>
      <c r="I39" s="47" t="s">
        <v>332</v>
      </c>
      <c r="J39" s="123" t="s">
        <v>406</v>
      </c>
      <c r="K39" s="75" t="s">
        <v>407</v>
      </c>
      <c r="L39" s="78" t="s">
        <v>405</v>
      </c>
      <c r="M39" s="138"/>
      <c r="N39" s="72"/>
      <c r="O39" s="75"/>
      <c r="P39" s="74"/>
      <c r="Q39" s="42"/>
      <c r="R39" s="27"/>
      <c r="S39" s="72"/>
      <c r="T39" s="20"/>
      <c r="U39" s="42"/>
      <c r="V39" s="47"/>
      <c r="W39" s="80"/>
      <c r="X39" s="49"/>
      <c r="Y39" s="82"/>
      <c r="Z39" s="49"/>
      <c r="AA39" s="82"/>
      <c r="AB39" s="49"/>
      <c r="AC39" s="51"/>
      <c r="AD39" s="84"/>
      <c r="AE39" s="51"/>
      <c r="AF39" s="53"/>
    </row>
    <row r="40" spans="1:32" ht="27">
      <c r="A40" s="47" t="s">
        <v>283</v>
      </c>
      <c r="B40" s="47">
        <v>20</v>
      </c>
      <c r="C40" s="27" t="s">
        <v>375</v>
      </c>
      <c r="D40" s="148" t="s">
        <v>305</v>
      </c>
      <c r="E40" s="121" t="s">
        <v>450</v>
      </c>
      <c r="F40" s="20" t="s">
        <v>451</v>
      </c>
      <c r="G40" s="19" t="s">
        <v>321</v>
      </c>
      <c r="H40" s="47">
        <v>40</v>
      </c>
      <c r="I40" s="47" t="s">
        <v>332</v>
      </c>
      <c r="J40" s="123" t="s">
        <v>394</v>
      </c>
      <c r="K40" s="75" t="s">
        <v>395</v>
      </c>
      <c r="L40" s="78" t="s">
        <v>476</v>
      </c>
      <c r="M40" s="138"/>
      <c r="N40" s="72"/>
      <c r="O40" s="75"/>
      <c r="P40" s="74"/>
      <c r="Q40" s="42"/>
      <c r="R40" s="27"/>
      <c r="S40" s="72"/>
      <c r="T40" s="20"/>
      <c r="U40" s="42"/>
      <c r="V40" s="47"/>
      <c r="W40" s="80"/>
      <c r="X40" s="49"/>
      <c r="Y40" s="82"/>
      <c r="Z40" s="49"/>
      <c r="AA40" s="82"/>
      <c r="AB40" s="49"/>
      <c r="AC40" s="51"/>
      <c r="AD40" s="84"/>
      <c r="AE40" s="51"/>
      <c r="AF40" s="53"/>
    </row>
    <row r="41" spans="1:32">
      <c r="A41" s="47" t="s">
        <v>283</v>
      </c>
      <c r="B41" s="47">
        <v>21</v>
      </c>
      <c r="C41" s="27" t="s">
        <v>375</v>
      </c>
      <c r="D41" s="148" t="s">
        <v>305</v>
      </c>
      <c r="E41" s="121" t="s">
        <v>452</v>
      </c>
      <c r="F41" s="20" t="s">
        <v>453</v>
      </c>
      <c r="G41" s="19" t="s">
        <v>321</v>
      </c>
      <c r="H41" s="47">
        <v>42</v>
      </c>
      <c r="I41" s="47" t="s">
        <v>332</v>
      </c>
      <c r="J41" s="123" t="s">
        <v>398</v>
      </c>
      <c r="K41" s="75" t="s">
        <v>399</v>
      </c>
      <c r="L41" s="78" t="s">
        <v>476</v>
      </c>
      <c r="M41" s="138"/>
      <c r="N41" s="72"/>
      <c r="O41" s="75"/>
      <c r="P41" s="74"/>
      <c r="Q41" s="42"/>
      <c r="R41" s="27"/>
      <c r="S41" s="72"/>
      <c r="T41" s="20"/>
      <c r="U41" s="42"/>
      <c r="V41" s="47"/>
      <c r="W41" s="80"/>
      <c r="X41" s="49"/>
      <c r="Y41" s="82"/>
      <c r="Z41" s="49"/>
      <c r="AA41" s="82"/>
      <c r="AB41" s="49"/>
      <c r="AC41" s="51"/>
      <c r="AD41" s="84"/>
      <c r="AE41" s="51"/>
      <c r="AF41" s="53"/>
    </row>
    <row r="42" spans="1:32" ht="27">
      <c r="A42" s="47" t="s">
        <v>283</v>
      </c>
      <c r="B42" s="47">
        <v>22</v>
      </c>
      <c r="C42" s="27" t="s">
        <v>375</v>
      </c>
      <c r="D42" s="148" t="s">
        <v>305</v>
      </c>
      <c r="E42" s="121" t="s">
        <v>454</v>
      </c>
      <c r="F42" s="20" t="s">
        <v>455</v>
      </c>
      <c r="G42" s="19" t="s">
        <v>321</v>
      </c>
      <c r="H42" s="47">
        <v>44</v>
      </c>
      <c r="I42" s="47" t="s">
        <v>332</v>
      </c>
      <c r="J42" s="123" t="s">
        <v>402</v>
      </c>
      <c r="K42" s="75" t="s">
        <v>403</v>
      </c>
      <c r="L42" s="78" t="s">
        <v>476</v>
      </c>
      <c r="M42" s="138"/>
      <c r="N42" s="72"/>
      <c r="O42" s="75"/>
      <c r="P42" s="74"/>
      <c r="Q42" s="42"/>
      <c r="R42" s="27"/>
      <c r="S42" s="72"/>
      <c r="T42" s="20"/>
      <c r="U42" s="42"/>
      <c r="V42" s="47"/>
      <c r="W42" s="80"/>
      <c r="X42" s="49"/>
      <c r="Y42" s="82"/>
      <c r="Z42" s="49"/>
      <c r="AA42" s="82"/>
      <c r="AB42" s="49"/>
      <c r="AC42" s="51"/>
      <c r="AD42" s="84"/>
      <c r="AE42" s="51"/>
      <c r="AF42" s="53"/>
    </row>
    <row r="43" spans="1:32" ht="94.5">
      <c r="A43" s="47" t="s">
        <v>283</v>
      </c>
      <c r="B43" s="47">
        <v>23</v>
      </c>
      <c r="C43" s="27" t="s">
        <v>375</v>
      </c>
      <c r="D43" s="148" t="s">
        <v>305</v>
      </c>
      <c r="E43" s="121" t="s">
        <v>456</v>
      </c>
      <c r="F43" s="20" t="s">
        <v>457</v>
      </c>
      <c r="G43" s="19" t="s">
        <v>321</v>
      </c>
      <c r="H43" s="47">
        <v>46</v>
      </c>
      <c r="I43" s="47" t="s">
        <v>332</v>
      </c>
      <c r="J43" s="123" t="s">
        <v>406</v>
      </c>
      <c r="K43" s="75" t="s">
        <v>407</v>
      </c>
      <c r="L43" s="78" t="s">
        <v>457</v>
      </c>
      <c r="M43" s="138"/>
      <c r="N43" s="72"/>
      <c r="O43" s="75"/>
      <c r="P43" s="74"/>
      <c r="Q43" s="42"/>
      <c r="R43" s="27"/>
      <c r="S43" s="72"/>
      <c r="T43" s="20"/>
      <c r="U43" s="42"/>
      <c r="V43" s="47"/>
      <c r="W43" s="80"/>
      <c r="X43" s="49"/>
      <c r="Y43" s="82"/>
      <c r="Z43" s="49"/>
      <c r="AA43" s="82"/>
      <c r="AB43" s="49"/>
      <c r="AC43" s="51"/>
      <c r="AD43" s="84"/>
      <c r="AE43" s="51"/>
      <c r="AF43" s="53"/>
    </row>
    <row r="44" spans="1:32" ht="81">
      <c r="A44" s="47" t="s">
        <v>283</v>
      </c>
      <c r="B44" s="47">
        <v>24</v>
      </c>
      <c r="C44" s="27" t="s">
        <v>375</v>
      </c>
      <c r="D44" s="148" t="s">
        <v>307</v>
      </c>
      <c r="E44" s="121" t="s">
        <v>388</v>
      </c>
      <c r="F44" s="20" t="s">
        <v>389</v>
      </c>
      <c r="G44" s="19" t="s">
        <v>321</v>
      </c>
      <c r="H44" s="47">
        <v>36</v>
      </c>
      <c r="I44" s="47" t="s">
        <v>332</v>
      </c>
      <c r="J44" s="123" t="s">
        <v>390</v>
      </c>
      <c r="K44" s="75" t="s">
        <v>391</v>
      </c>
      <c r="L44" s="78" t="s">
        <v>476</v>
      </c>
      <c r="M44" s="138"/>
      <c r="N44" s="72"/>
      <c r="O44" s="75"/>
      <c r="P44" s="74"/>
      <c r="Q44" s="42"/>
      <c r="R44" s="27"/>
      <c r="S44" s="72"/>
      <c r="T44" s="20"/>
      <c r="U44" s="42"/>
      <c r="V44" s="47"/>
      <c r="W44" s="80"/>
      <c r="X44" s="49"/>
      <c r="Y44" s="82"/>
      <c r="Z44" s="49"/>
      <c r="AA44" s="82"/>
      <c r="AB44" s="49"/>
      <c r="AC44" s="51"/>
      <c r="AD44" s="84"/>
      <c r="AE44" s="51"/>
      <c r="AF44" s="53"/>
    </row>
    <row r="45" spans="1:32" ht="67.5">
      <c r="A45" s="47" t="s">
        <v>283</v>
      </c>
      <c r="B45" s="47">
        <v>25</v>
      </c>
      <c r="C45" s="27" t="s">
        <v>375</v>
      </c>
      <c r="D45" s="148" t="s">
        <v>307</v>
      </c>
      <c r="E45" s="121" t="s">
        <v>412</v>
      </c>
      <c r="F45" s="20" t="s">
        <v>415</v>
      </c>
      <c r="G45" s="19" t="s">
        <v>321</v>
      </c>
      <c r="H45" s="47">
        <v>52</v>
      </c>
      <c r="I45" s="47" t="s">
        <v>332</v>
      </c>
      <c r="J45" s="123" t="s">
        <v>413</v>
      </c>
      <c r="K45" s="75" t="s">
        <v>414</v>
      </c>
      <c r="L45" s="78" t="s">
        <v>476</v>
      </c>
      <c r="M45" s="138"/>
      <c r="N45" s="72"/>
      <c r="O45" s="75"/>
      <c r="P45" s="74"/>
      <c r="Q45" s="42"/>
      <c r="R45" s="27"/>
      <c r="S45" s="72"/>
      <c r="T45" s="20"/>
      <c r="U45" s="42"/>
      <c r="V45" s="47"/>
      <c r="W45" s="80"/>
      <c r="X45" s="49"/>
      <c r="Y45" s="82"/>
      <c r="Z45" s="49"/>
      <c r="AA45" s="82"/>
      <c r="AB45" s="49"/>
      <c r="AC45" s="51"/>
      <c r="AD45" s="84"/>
      <c r="AE45" s="51"/>
      <c r="AF45" s="53"/>
    </row>
    <row r="46" spans="1:32" ht="27">
      <c r="A46" s="47" t="s">
        <v>283</v>
      </c>
      <c r="B46" s="47">
        <v>26</v>
      </c>
      <c r="C46" s="27" t="s">
        <v>375</v>
      </c>
      <c r="D46" s="148" t="s">
        <v>307</v>
      </c>
      <c r="E46" s="121" t="s">
        <v>448</v>
      </c>
      <c r="F46" s="20" t="s">
        <v>449</v>
      </c>
      <c r="G46" s="19" t="s">
        <v>321</v>
      </c>
      <c r="H46" s="47">
        <v>36</v>
      </c>
      <c r="I46" s="47" t="s">
        <v>332</v>
      </c>
      <c r="J46" s="123" t="s">
        <v>390</v>
      </c>
      <c r="K46" s="75" t="s">
        <v>391</v>
      </c>
      <c r="L46" s="78" t="s">
        <v>476</v>
      </c>
      <c r="M46" s="138"/>
      <c r="N46" s="72"/>
      <c r="O46" s="75"/>
      <c r="P46" s="74"/>
      <c r="Q46" s="42"/>
      <c r="R46" s="27"/>
      <c r="S46" s="72"/>
      <c r="T46" s="20"/>
      <c r="U46" s="42"/>
      <c r="V46" s="47"/>
      <c r="W46" s="80"/>
      <c r="X46" s="49"/>
      <c r="Y46" s="82"/>
      <c r="Z46" s="49"/>
      <c r="AA46" s="82"/>
      <c r="AB46" s="49"/>
      <c r="AC46" s="51"/>
      <c r="AD46" s="84"/>
      <c r="AE46" s="51"/>
      <c r="AF46" s="53"/>
    </row>
    <row r="47" spans="1:32" ht="40.5">
      <c r="A47" s="47" t="s">
        <v>283</v>
      </c>
      <c r="B47" s="47">
        <v>27</v>
      </c>
      <c r="C47" s="27" t="s">
        <v>375</v>
      </c>
      <c r="D47" s="148" t="s">
        <v>307</v>
      </c>
      <c r="E47" s="121" t="s">
        <v>460</v>
      </c>
      <c r="F47" s="20" t="s">
        <v>461</v>
      </c>
      <c r="G47" s="19" t="s">
        <v>321</v>
      </c>
      <c r="H47" s="47">
        <v>52</v>
      </c>
      <c r="I47" s="47" t="s">
        <v>332</v>
      </c>
      <c r="J47" s="123" t="s">
        <v>413</v>
      </c>
      <c r="K47" s="75" t="s">
        <v>414</v>
      </c>
      <c r="L47" s="78" t="s">
        <v>476</v>
      </c>
      <c r="M47" s="138"/>
      <c r="N47" s="72"/>
      <c r="O47" s="75"/>
      <c r="P47" s="74"/>
      <c r="Q47" s="42"/>
      <c r="R47" s="27"/>
      <c r="S47" s="72"/>
      <c r="T47" s="20"/>
      <c r="U47" s="42"/>
      <c r="V47" s="47"/>
      <c r="W47" s="80"/>
      <c r="X47" s="49"/>
      <c r="Y47" s="82"/>
      <c r="Z47" s="49"/>
      <c r="AA47" s="82"/>
      <c r="AB47" s="49"/>
      <c r="AC47" s="51"/>
      <c r="AD47" s="84"/>
      <c r="AE47" s="51"/>
      <c r="AF47" s="53"/>
    </row>
    <row r="48" spans="1:32" ht="40.5">
      <c r="A48" s="47" t="s">
        <v>283</v>
      </c>
      <c r="B48" s="47">
        <v>28</v>
      </c>
      <c r="C48" s="27" t="s">
        <v>291</v>
      </c>
      <c r="D48" s="148" t="s">
        <v>309</v>
      </c>
      <c r="E48" s="121" t="s">
        <v>438</v>
      </c>
      <c r="F48" s="20" t="s">
        <v>439</v>
      </c>
      <c r="G48" s="19" t="s">
        <v>321</v>
      </c>
      <c r="H48" s="47">
        <v>100</v>
      </c>
      <c r="I48" s="47" t="s">
        <v>332</v>
      </c>
      <c r="J48" s="123" t="s">
        <v>440</v>
      </c>
      <c r="K48" s="75" t="s">
        <v>441</v>
      </c>
      <c r="L48" s="78" t="s">
        <v>439</v>
      </c>
      <c r="M48" s="138"/>
      <c r="N48" s="72"/>
      <c r="O48" s="75"/>
      <c r="P48" s="74"/>
      <c r="Q48" s="42"/>
      <c r="R48" s="27"/>
      <c r="S48" s="72"/>
      <c r="T48" s="20"/>
      <c r="U48" s="42"/>
      <c r="V48" s="47"/>
      <c r="W48" s="80"/>
      <c r="X48" s="49"/>
      <c r="Y48" s="82"/>
      <c r="Z48" s="49"/>
      <c r="AA48" s="82"/>
      <c r="AB48" s="49"/>
      <c r="AC48" s="51"/>
      <c r="AD48" s="84"/>
      <c r="AE48" s="51"/>
      <c r="AF48" s="53"/>
    </row>
    <row r="49" spans="1:32" ht="40.5">
      <c r="A49" s="47" t="s">
        <v>283</v>
      </c>
      <c r="B49" s="47">
        <v>29</v>
      </c>
      <c r="C49" s="27" t="s">
        <v>291</v>
      </c>
      <c r="D49" s="148" t="s">
        <v>309</v>
      </c>
      <c r="E49" s="121" t="s">
        <v>474</v>
      </c>
      <c r="F49" s="20" t="s">
        <v>475</v>
      </c>
      <c r="G49" s="19" t="s">
        <v>321</v>
      </c>
      <c r="H49" s="47">
        <v>100</v>
      </c>
      <c r="I49" s="47" t="s">
        <v>332</v>
      </c>
      <c r="J49" s="123" t="s">
        <v>440</v>
      </c>
      <c r="K49" s="75" t="s">
        <v>441</v>
      </c>
      <c r="L49" s="78" t="s">
        <v>475</v>
      </c>
      <c r="M49" s="138"/>
      <c r="N49" s="72"/>
      <c r="O49" s="75"/>
      <c r="P49" s="74"/>
      <c r="Q49" s="42"/>
      <c r="R49" s="27"/>
      <c r="S49" s="72"/>
      <c r="T49" s="20"/>
      <c r="U49" s="42"/>
      <c r="V49" s="47"/>
      <c r="W49" s="80"/>
      <c r="X49" s="49"/>
      <c r="Y49" s="82"/>
      <c r="Z49" s="49"/>
      <c r="AA49" s="82"/>
      <c r="AB49" s="49"/>
      <c r="AC49" s="51"/>
      <c r="AD49" s="84"/>
      <c r="AE49" s="51"/>
      <c r="AF49" s="53"/>
    </row>
    <row r="50" spans="1:32" ht="40.5">
      <c r="A50" s="47" t="s">
        <v>283</v>
      </c>
      <c r="B50" s="47">
        <v>30</v>
      </c>
      <c r="C50" s="27" t="s">
        <v>375</v>
      </c>
      <c r="D50" s="148" t="s">
        <v>311</v>
      </c>
      <c r="E50" s="121" t="s">
        <v>376</v>
      </c>
      <c r="F50" s="72" t="s">
        <v>377</v>
      </c>
      <c r="G50" s="19" t="s">
        <v>321</v>
      </c>
      <c r="H50" s="47">
        <v>22</v>
      </c>
      <c r="I50" s="47" t="s">
        <v>332</v>
      </c>
      <c r="J50" s="123" t="s">
        <v>378</v>
      </c>
      <c r="K50" s="75" t="s">
        <v>379</v>
      </c>
      <c r="L50" s="78" t="s">
        <v>476</v>
      </c>
      <c r="M50" s="138"/>
      <c r="N50" s="72"/>
      <c r="O50" s="75"/>
      <c r="P50" s="74"/>
      <c r="Q50" s="42"/>
      <c r="R50" s="27"/>
      <c r="S50" s="72"/>
      <c r="T50" s="20"/>
      <c r="U50" s="42"/>
      <c r="V50" s="47"/>
      <c r="W50" s="80"/>
      <c r="X50" s="49"/>
      <c r="Y50" s="82"/>
      <c r="Z50" s="49"/>
      <c r="AA50" s="82"/>
      <c r="AB50" s="49"/>
      <c r="AC50" s="51"/>
      <c r="AD50" s="84"/>
      <c r="AE50" s="51"/>
      <c r="AF50" s="53"/>
    </row>
    <row r="51" spans="1:32">
      <c r="A51" s="47" t="s">
        <v>283</v>
      </c>
      <c r="B51" s="47">
        <v>31</v>
      </c>
      <c r="C51" s="27" t="s">
        <v>375</v>
      </c>
      <c r="D51" s="148" t="s">
        <v>311</v>
      </c>
      <c r="E51" s="121" t="s">
        <v>380</v>
      </c>
      <c r="F51" s="20" t="s">
        <v>381</v>
      </c>
      <c r="G51" s="19" t="s">
        <v>321</v>
      </c>
      <c r="H51" s="47">
        <v>26</v>
      </c>
      <c r="I51" s="47" t="s">
        <v>332</v>
      </c>
      <c r="J51" s="123" t="s">
        <v>383</v>
      </c>
      <c r="K51" s="75" t="s">
        <v>382</v>
      </c>
      <c r="L51" s="78" t="s">
        <v>476</v>
      </c>
      <c r="M51" s="138"/>
      <c r="N51" s="72"/>
      <c r="O51" s="75"/>
      <c r="P51" s="74"/>
      <c r="Q51" s="42"/>
      <c r="R51" s="27"/>
      <c r="S51" s="72"/>
      <c r="T51" s="20"/>
      <c r="U51" s="42"/>
      <c r="V51" s="47"/>
      <c r="W51" s="80"/>
      <c r="X51" s="49"/>
      <c r="Y51" s="82"/>
      <c r="Z51" s="49"/>
      <c r="AA51" s="82"/>
      <c r="AB51" s="49"/>
      <c r="AC51" s="51"/>
      <c r="AD51" s="84"/>
      <c r="AE51" s="51"/>
      <c r="AF51" s="53"/>
    </row>
    <row r="52" spans="1:32">
      <c r="A52" s="47" t="s">
        <v>283</v>
      </c>
      <c r="B52" s="47">
        <v>32</v>
      </c>
      <c r="C52" s="27" t="s">
        <v>375</v>
      </c>
      <c r="D52" s="148" t="s">
        <v>311</v>
      </c>
      <c r="E52" s="121" t="s">
        <v>384</v>
      </c>
      <c r="F52" s="20" t="s">
        <v>386</v>
      </c>
      <c r="G52" s="19" t="s">
        <v>321</v>
      </c>
      <c r="H52" s="47">
        <v>28</v>
      </c>
      <c r="I52" s="47" t="s">
        <v>332</v>
      </c>
      <c r="J52" s="123" t="s">
        <v>387</v>
      </c>
      <c r="K52" s="75" t="s">
        <v>385</v>
      </c>
      <c r="L52" s="78" t="s">
        <v>476</v>
      </c>
      <c r="M52" s="138"/>
      <c r="N52" s="72"/>
      <c r="O52" s="75"/>
      <c r="P52" s="74"/>
      <c r="Q52" s="42"/>
      <c r="R52" s="27"/>
      <c r="S52" s="72"/>
      <c r="T52" s="20"/>
      <c r="U52" s="42"/>
      <c r="V52" s="47"/>
      <c r="W52" s="80"/>
      <c r="X52" s="49"/>
      <c r="Y52" s="82"/>
      <c r="Z52" s="49"/>
      <c r="AA52" s="82"/>
      <c r="AB52" s="49"/>
      <c r="AC52" s="51"/>
      <c r="AD52" s="84"/>
      <c r="AE52" s="51"/>
      <c r="AF52" s="53"/>
    </row>
    <row r="53" spans="1:32" ht="54">
      <c r="A53" s="47" t="s">
        <v>283</v>
      </c>
      <c r="B53" s="47">
        <v>33</v>
      </c>
      <c r="C53" s="27" t="s">
        <v>375</v>
      </c>
      <c r="D53" s="148" t="s">
        <v>311</v>
      </c>
      <c r="E53" s="121" t="s">
        <v>408</v>
      </c>
      <c r="F53" s="20" t="s">
        <v>409</v>
      </c>
      <c r="G53" s="19" t="s">
        <v>321</v>
      </c>
      <c r="H53" s="47">
        <v>48</v>
      </c>
      <c r="I53" s="47" t="s">
        <v>332</v>
      </c>
      <c r="J53" s="123" t="s">
        <v>410</v>
      </c>
      <c r="K53" s="75" t="s">
        <v>411</v>
      </c>
      <c r="L53" s="78" t="s">
        <v>476</v>
      </c>
      <c r="M53" s="138"/>
      <c r="N53" s="72"/>
      <c r="O53" s="75"/>
      <c r="P53" s="74"/>
      <c r="Q53" s="42"/>
      <c r="R53" s="27"/>
      <c r="S53" s="72"/>
      <c r="T53" s="20"/>
      <c r="U53" s="42"/>
      <c r="V53" s="47"/>
      <c r="W53" s="80"/>
      <c r="X53" s="49"/>
      <c r="Y53" s="82"/>
      <c r="Z53" s="49"/>
      <c r="AA53" s="82"/>
      <c r="AB53" s="49"/>
      <c r="AC53" s="51"/>
      <c r="AD53" s="84"/>
      <c r="AE53" s="51"/>
      <c r="AF53" s="53"/>
    </row>
    <row r="54" spans="1:32" ht="27">
      <c r="A54" s="47" t="s">
        <v>283</v>
      </c>
      <c r="B54" s="47">
        <v>34</v>
      </c>
      <c r="C54" s="27" t="s">
        <v>375</v>
      </c>
      <c r="D54" s="148" t="s">
        <v>311</v>
      </c>
      <c r="E54" s="121" t="s">
        <v>416</v>
      </c>
      <c r="F54" s="20" t="s">
        <v>417</v>
      </c>
      <c r="G54" s="19" t="s">
        <v>321</v>
      </c>
      <c r="H54" s="47">
        <v>66</v>
      </c>
      <c r="I54" s="47" t="s">
        <v>332</v>
      </c>
      <c r="J54" s="123" t="s">
        <v>418</v>
      </c>
      <c r="K54" s="75" t="s">
        <v>395</v>
      </c>
      <c r="L54" s="78" t="s">
        <v>476</v>
      </c>
      <c r="M54" s="138"/>
      <c r="N54" s="72"/>
      <c r="O54" s="75"/>
      <c r="P54" s="74"/>
      <c r="Q54" s="42"/>
      <c r="R54" s="27"/>
      <c r="S54" s="72"/>
      <c r="T54" s="20"/>
      <c r="U54" s="42"/>
      <c r="V54" s="47"/>
      <c r="W54" s="80"/>
      <c r="X54" s="49"/>
      <c r="Y54" s="82"/>
      <c r="Z54" s="49"/>
      <c r="AA54" s="82"/>
      <c r="AB54" s="49"/>
      <c r="AC54" s="51"/>
      <c r="AD54" s="84"/>
      <c r="AE54" s="51"/>
      <c r="AF54" s="53"/>
    </row>
    <row r="55" spans="1:32" ht="67.5">
      <c r="A55" s="47" t="s">
        <v>283</v>
      </c>
      <c r="B55" s="47">
        <v>35</v>
      </c>
      <c r="C55" s="27" t="s">
        <v>375</v>
      </c>
      <c r="D55" s="148" t="s">
        <v>311</v>
      </c>
      <c r="E55" s="121" t="s">
        <v>419</v>
      </c>
      <c r="F55" s="20" t="s">
        <v>420</v>
      </c>
      <c r="G55" s="19" t="s">
        <v>321</v>
      </c>
      <c r="H55" s="47">
        <v>72</v>
      </c>
      <c r="I55" s="47" t="s">
        <v>332</v>
      </c>
      <c r="J55" s="123" t="s">
        <v>421</v>
      </c>
      <c r="K55" s="75" t="s">
        <v>422</v>
      </c>
      <c r="L55" s="78" t="s">
        <v>476</v>
      </c>
      <c r="M55" s="138"/>
      <c r="N55" s="72"/>
      <c r="O55" s="75"/>
      <c r="P55" s="74"/>
      <c r="Q55" s="42"/>
      <c r="R55" s="27"/>
      <c r="S55" s="72"/>
      <c r="T55" s="20"/>
      <c r="U55" s="42"/>
      <c r="V55" s="47"/>
      <c r="W55" s="80"/>
      <c r="X55" s="49"/>
      <c r="Y55" s="82"/>
      <c r="Z55" s="49"/>
      <c r="AA55" s="82"/>
      <c r="AB55" s="49"/>
      <c r="AC55" s="51"/>
      <c r="AD55" s="84"/>
      <c r="AE55" s="51"/>
      <c r="AF55" s="53"/>
    </row>
    <row r="56" spans="1:32">
      <c r="A56" s="47" t="s">
        <v>283</v>
      </c>
      <c r="B56" s="47">
        <v>36</v>
      </c>
      <c r="C56" s="27" t="s">
        <v>375</v>
      </c>
      <c r="D56" s="148" t="s">
        <v>311</v>
      </c>
      <c r="E56" s="121" t="s">
        <v>423</v>
      </c>
      <c r="F56" s="20" t="s">
        <v>424</v>
      </c>
      <c r="G56" s="19" t="s">
        <v>321</v>
      </c>
      <c r="H56" s="47">
        <v>78</v>
      </c>
      <c r="I56" s="47" t="s">
        <v>332</v>
      </c>
      <c r="J56" s="123" t="s">
        <v>425</v>
      </c>
      <c r="K56" s="75" t="s">
        <v>422</v>
      </c>
      <c r="L56" s="78" t="s">
        <v>476</v>
      </c>
      <c r="M56" s="138"/>
      <c r="N56" s="72"/>
      <c r="O56" s="75"/>
      <c r="P56" s="74"/>
      <c r="Q56" s="42"/>
      <c r="R56" s="27"/>
      <c r="S56" s="72"/>
      <c r="T56" s="20"/>
      <c r="U56" s="42"/>
      <c r="V56" s="47"/>
      <c r="W56" s="80"/>
      <c r="X56" s="49"/>
      <c r="Y56" s="82"/>
      <c r="Z56" s="49"/>
      <c r="AA56" s="82"/>
      <c r="AB56" s="49"/>
      <c r="AC56" s="51"/>
      <c r="AD56" s="84"/>
      <c r="AE56" s="51"/>
      <c r="AF56" s="53"/>
    </row>
    <row r="57" spans="1:32" ht="27">
      <c r="A57" s="47" t="s">
        <v>283</v>
      </c>
      <c r="B57" s="47">
        <v>37</v>
      </c>
      <c r="C57" s="27" t="s">
        <v>375</v>
      </c>
      <c r="D57" s="148" t="s">
        <v>311</v>
      </c>
      <c r="E57" s="121" t="s">
        <v>426</v>
      </c>
      <c r="F57" s="20" t="s">
        <v>427</v>
      </c>
      <c r="G57" s="19" t="s">
        <v>321</v>
      </c>
      <c r="H57" s="47">
        <v>80</v>
      </c>
      <c r="I57" s="47" t="s">
        <v>332</v>
      </c>
      <c r="J57" s="123" t="s">
        <v>428</v>
      </c>
      <c r="K57" s="75" t="s">
        <v>429</v>
      </c>
      <c r="L57" s="78" t="s">
        <v>476</v>
      </c>
      <c r="M57" s="138"/>
      <c r="N57" s="72"/>
      <c r="O57" s="75"/>
      <c r="P57" s="74"/>
      <c r="Q57" s="42"/>
      <c r="R57" s="27"/>
      <c r="S57" s="72"/>
      <c r="T57" s="20"/>
      <c r="U57" s="42"/>
      <c r="V57" s="47"/>
      <c r="W57" s="80"/>
      <c r="X57" s="49"/>
      <c r="Y57" s="82"/>
      <c r="Z57" s="49"/>
      <c r="AA57" s="82"/>
      <c r="AB57" s="49"/>
      <c r="AC57" s="51"/>
      <c r="AD57" s="84"/>
      <c r="AE57" s="51"/>
      <c r="AF57" s="53"/>
    </row>
    <row r="58" spans="1:32">
      <c r="A58" s="47" t="s">
        <v>283</v>
      </c>
      <c r="B58" s="47">
        <v>38</v>
      </c>
      <c r="C58" s="27" t="s">
        <v>375</v>
      </c>
      <c r="D58" s="148" t="s">
        <v>311</v>
      </c>
      <c r="E58" s="121" t="s">
        <v>430</v>
      </c>
      <c r="F58" s="20" t="s">
        <v>431</v>
      </c>
      <c r="G58" s="19" t="s">
        <v>321</v>
      </c>
      <c r="H58" s="47">
        <v>82</v>
      </c>
      <c r="I58" s="47" t="s">
        <v>332</v>
      </c>
      <c r="J58" s="123" t="s">
        <v>432</v>
      </c>
      <c r="K58" s="75" t="s">
        <v>433</v>
      </c>
      <c r="L58" s="78" t="s">
        <v>476</v>
      </c>
      <c r="M58" s="138"/>
      <c r="N58" s="72"/>
      <c r="O58" s="75"/>
      <c r="P58" s="74"/>
      <c r="Q58" s="42"/>
      <c r="R58" s="27"/>
      <c r="S58" s="72"/>
      <c r="T58" s="20"/>
      <c r="U58" s="42"/>
      <c r="V58" s="47"/>
      <c r="W58" s="80"/>
      <c r="X58" s="49"/>
      <c r="Y58" s="82"/>
      <c r="Z58" s="49"/>
      <c r="AA58" s="82"/>
      <c r="AB58" s="49"/>
      <c r="AC58" s="51"/>
      <c r="AD58" s="84"/>
      <c r="AE58" s="51"/>
      <c r="AF58" s="53"/>
    </row>
    <row r="59" spans="1:32" ht="27">
      <c r="A59" s="47" t="s">
        <v>283</v>
      </c>
      <c r="B59" s="47">
        <v>39</v>
      </c>
      <c r="C59" s="27" t="s">
        <v>375</v>
      </c>
      <c r="D59" s="148" t="s">
        <v>311</v>
      </c>
      <c r="E59" s="121" t="s">
        <v>434</v>
      </c>
      <c r="F59" s="20" t="s">
        <v>435</v>
      </c>
      <c r="G59" s="19" t="s">
        <v>321</v>
      </c>
      <c r="H59" s="47">
        <v>98</v>
      </c>
      <c r="I59" s="47" t="s">
        <v>332</v>
      </c>
      <c r="J59" s="123" t="s">
        <v>436</v>
      </c>
      <c r="K59" s="75" t="s">
        <v>437</v>
      </c>
      <c r="L59" s="78" t="s">
        <v>476</v>
      </c>
      <c r="M59" s="138"/>
      <c r="N59" s="72"/>
      <c r="O59" s="75"/>
      <c r="P59" s="74"/>
      <c r="Q59" s="42"/>
      <c r="R59" s="27"/>
      <c r="S59" s="72"/>
      <c r="T59" s="20"/>
      <c r="U59" s="42"/>
      <c r="V59" s="47"/>
      <c r="W59" s="80"/>
      <c r="X59" s="49"/>
      <c r="Y59" s="82"/>
      <c r="Z59" s="49"/>
      <c r="AA59" s="82"/>
      <c r="AB59" s="49"/>
      <c r="AC59" s="51"/>
      <c r="AD59" s="84"/>
      <c r="AE59" s="51"/>
      <c r="AF59" s="53"/>
    </row>
    <row r="60" spans="1:32" ht="94.5">
      <c r="A60" s="47" t="s">
        <v>283</v>
      </c>
      <c r="B60" s="47">
        <v>40</v>
      </c>
      <c r="C60" s="27" t="s">
        <v>375</v>
      </c>
      <c r="D60" s="148" t="s">
        <v>311</v>
      </c>
      <c r="E60" s="121" t="s">
        <v>442</v>
      </c>
      <c r="F60" s="20" t="s">
        <v>443</v>
      </c>
      <c r="G60" s="19" t="s">
        <v>321</v>
      </c>
      <c r="H60" s="47">
        <v>22</v>
      </c>
      <c r="I60" s="47" t="s">
        <v>332</v>
      </c>
      <c r="J60" s="123" t="s">
        <v>378</v>
      </c>
      <c r="K60" s="75" t="s">
        <v>379</v>
      </c>
      <c r="L60" s="78" t="s">
        <v>476</v>
      </c>
      <c r="M60" s="138"/>
      <c r="N60" s="72"/>
      <c r="O60" s="75"/>
      <c r="P60" s="74"/>
      <c r="Q60" s="42"/>
      <c r="R60" s="27"/>
      <c r="S60" s="72"/>
      <c r="T60" s="20"/>
      <c r="U60" s="42"/>
      <c r="V60" s="47"/>
      <c r="W60" s="80"/>
      <c r="X60" s="49"/>
      <c r="Y60" s="82"/>
      <c r="Z60" s="49"/>
      <c r="AA60" s="82"/>
      <c r="AB60" s="49"/>
      <c r="AC60" s="51"/>
      <c r="AD60" s="84"/>
      <c r="AE60" s="51"/>
      <c r="AF60" s="53"/>
    </row>
    <row r="61" spans="1:32" ht="81">
      <c r="A61" s="47" t="s">
        <v>283</v>
      </c>
      <c r="B61" s="47">
        <v>41</v>
      </c>
      <c r="C61" s="27" t="s">
        <v>375</v>
      </c>
      <c r="D61" s="148" t="s">
        <v>311</v>
      </c>
      <c r="E61" s="121" t="s">
        <v>444</v>
      </c>
      <c r="F61" s="20" t="s">
        <v>445</v>
      </c>
      <c r="G61" s="19" t="s">
        <v>321</v>
      </c>
      <c r="H61" s="47">
        <v>26</v>
      </c>
      <c r="I61" s="47" t="s">
        <v>332</v>
      </c>
      <c r="J61" s="123" t="s">
        <v>383</v>
      </c>
      <c r="K61" s="75" t="s">
        <v>382</v>
      </c>
      <c r="L61" s="78" t="s">
        <v>476</v>
      </c>
      <c r="M61" s="138"/>
      <c r="N61" s="72"/>
      <c r="O61" s="75"/>
      <c r="P61" s="74"/>
      <c r="Q61" s="42"/>
      <c r="R61" s="27"/>
      <c r="S61" s="72"/>
      <c r="T61" s="20"/>
      <c r="U61" s="42"/>
      <c r="V61" s="47"/>
      <c r="W61" s="80"/>
      <c r="X61" s="49"/>
      <c r="Y61" s="82"/>
      <c r="Z61" s="49"/>
      <c r="AA61" s="82"/>
      <c r="AB61" s="49"/>
      <c r="AC61" s="51"/>
      <c r="AD61" s="84"/>
      <c r="AE61" s="51"/>
      <c r="AF61" s="53"/>
    </row>
    <row r="62" spans="1:32" ht="67.5">
      <c r="A62" s="47" t="s">
        <v>283</v>
      </c>
      <c r="B62" s="47">
        <v>42</v>
      </c>
      <c r="C62" s="27" t="s">
        <v>375</v>
      </c>
      <c r="D62" s="148" t="s">
        <v>311</v>
      </c>
      <c r="E62" s="121" t="s">
        <v>446</v>
      </c>
      <c r="F62" s="20" t="s">
        <v>447</v>
      </c>
      <c r="G62" s="19" t="s">
        <v>321</v>
      </c>
      <c r="H62" s="47">
        <v>28</v>
      </c>
      <c r="I62" s="47" t="s">
        <v>332</v>
      </c>
      <c r="J62" s="123" t="s">
        <v>387</v>
      </c>
      <c r="K62" s="75" t="s">
        <v>385</v>
      </c>
      <c r="L62" s="78" t="s">
        <v>476</v>
      </c>
      <c r="M62" s="138"/>
      <c r="N62" s="72"/>
      <c r="O62" s="75"/>
      <c r="P62" s="74"/>
      <c r="Q62" s="42"/>
      <c r="R62" s="27"/>
      <c r="S62" s="72"/>
      <c r="T62" s="20"/>
      <c r="U62" s="42"/>
      <c r="V62" s="47"/>
      <c r="W62" s="80"/>
      <c r="X62" s="49"/>
      <c r="Y62" s="82"/>
      <c r="Z62" s="49"/>
      <c r="AA62" s="82"/>
      <c r="AB62" s="49"/>
      <c r="AC62" s="51"/>
      <c r="AD62" s="84"/>
      <c r="AE62" s="51"/>
      <c r="AF62" s="53"/>
    </row>
    <row r="63" spans="1:32" ht="27">
      <c r="A63" s="47" t="s">
        <v>283</v>
      </c>
      <c r="B63" s="47">
        <v>43</v>
      </c>
      <c r="C63" s="27" t="s">
        <v>375</v>
      </c>
      <c r="D63" s="148" t="s">
        <v>311</v>
      </c>
      <c r="E63" s="121" t="s">
        <v>458</v>
      </c>
      <c r="F63" s="20" t="s">
        <v>459</v>
      </c>
      <c r="G63" s="19" t="s">
        <v>321</v>
      </c>
      <c r="H63" s="47">
        <v>48</v>
      </c>
      <c r="I63" s="47" t="s">
        <v>332</v>
      </c>
      <c r="J63" s="123" t="s">
        <v>410</v>
      </c>
      <c r="K63" s="75" t="s">
        <v>411</v>
      </c>
      <c r="L63" s="78" t="s">
        <v>476</v>
      </c>
      <c r="M63" s="138"/>
      <c r="N63" s="72"/>
      <c r="O63" s="75"/>
      <c r="P63" s="74"/>
      <c r="Q63" s="42"/>
      <c r="R63" s="27"/>
      <c r="S63" s="72"/>
      <c r="T63" s="20"/>
      <c r="U63" s="42"/>
      <c r="V63" s="47"/>
      <c r="W63" s="80"/>
      <c r="X63" s="49"/>
      <c r="Y63" s="82"/>
      <c r="Z63" s="49"/>
      <c r="AA63" s="82"/>
      <c r="AB63" s="49"/>
      <c r="AC63" s="51"/>
      <c r="AD63" s="84"/>
      <c r="AE63" s="51"/>
      <c r="AF63" s="53"/>
    </row>
    <row r="64" spans="1:32" ht="40.5">
      <c r="A64" s="47" t="s">
        <v>283</v>
      </c>
      <c r="B64" s="47">
        <v>44</v>
      </c>
      <c r="C64" s="27" t="s">
        <v>375</v>
      </c>
      <c r="D64" s="148" t="s">
        <v>311</v>
      </c>
      <c r="E64" s="121" t="s">
        <v>462</v>
      </c>
      <c r="F64" s="20" t="s">
        <v>463</v>
      </c>
      <c r="G64" s="19" t="s">
        <v>321</v>
      </c>
      <c r="H64" s="47">
        <v>66</v>
      </c>
      <c r="I64" s="47" t="s">
        <v>332</v>
      </c>
      <c r="J64" s="123" t="s">
        <v>418</v>
      </c>
      <c r="K64" s="75" t="s">
        <v>395</v>
      </c>
      <c r="L64" s="78" t="s">
        <v>476</v>
      </c>
      <c r="M64" s="138"/>
      <c r="N64" s="72"/>
      <c r="O64" s="75"/>
      <c r="P64" s="74"/>
      <c r="Q64" s="42"/>
      <c r="R64" s="27"/>
      <c r="S64" s="72"/>
      <c r="T64" s="20"/>
      <c r="U64" s="42"/>
      <c r="V64" s="47"/>
      <c r="W64" s="80"/>
      <c r="X64" s="49"/>
      <c r="Y64" s="82"/>
      <c r="Z64" s="49"/>
      <c r="AA64" s="82"/>
      <c r="AB64" s="49"/>
      <c r="AC64" s="51"/>
      <c r="AD64" s="84"/>
      <c r="AE64" s="51"/>
      <c r="AF64" s="53"/>
    </row>
    <row r="65" spans="1:32" ht="40.5">
      <c r="A65" s="47" t="s">
        <v>283</v>
      </c>
      <c r="B65" s="47">
        <v>45</v>
      </c>
      <c r="C65" s="27" t="s">
        <v>375</v>
      </c>
      <c r="D65" s="148" t="s">
        <v>311</v>
      </c>
      <c r="E65" s="121" t="s">
        <v>464</v>
      </c>
      <c r="F65" s="20" t="s">
        <v>465</v>
      </c>
      <c r="G65" s="19" t="s">
        <v>321</v>
      </c>
      <c r="H65" s="47">
        <v>72</v>
      </c>
      <c r="I65" s="47" t="s">
        <v>332</v>
      </c>
      <c r="J65" s="123" t="s">
        <v>421</v>
      </c>
      <c r="K65" s="75" t="s">
        <v>422</v>
      </c>
      <c r="L65" s="78" t="s">
        <v>476</v>
      </c>
      <c r="M65" s="138"/>
      <c r="N65" s="72"/>
      <c r="O65" s="75"/>
      <c r="P65" s="74"/>
      <c r="Q65" s="42"/>
      <c r="R65" s="27"/>
      <c r="S65" s="72"/>
      <c r="T65" s="20"/>
      <c r="U65" s="42"/>
      <c r="V65" s="47"/>
      <c r="W65" s="80"/>
      <c r="X65" s="49"/>
      <c r="Y65" s="82"/>
      <c r="Z65" s="49"/>
      <c r="AA65" s="82"/>
      <c r="AB65" s="49"/>
      <c r="AC65" s="51"/>
      <c r="AD65" s="84"/>
      <c r="AE65" s="51"/>
      <c r="AF65" s="53"/>
    </row>
    <row r="66" spans="1:32" ht="40.5">
      <c r="A66" s="47" t="s">
        <v>283</v>
      </c>
      <c r="B66" s="47">
        <v>46</v>
      </c>
      <c r="C66" s="27" t="s">
        <v>375</v>
      </c>
      <c r="D66" s="148" t="s">
        <v>311</v>
      </c>
      <c r="E66" s="121" t="s">
        <v>466</v>
      </c>
      <c r="F66" s="20" t="s">
        <v>467</v>
      </c>
      <c r="G66" s="19" t="s">
        <v>321</v>
      </c>
      <c r="H66" s="47">
        <v>78</v>
      </c>
      <c r="I66" s="47" t="s">
        <v>332</v>
      </c>
      <c r="J66" s="123" t="s">
        <v>425</v>
      </c>
      <c r="K66" s="75" t="s">
        <v>422</v>
      </c>
      <c r="L66" s="78" t="s">
        <v>476</v>
      </c>
      <c r="M66" s="138"/>
      <c r="N66" s="72"/>
      <c r="O66" s="75"/>
      <c r="P66" s="74"/>
      <c r="Q66" s="42"/>
      <c r="R66" s="27"/>
      <c r="S66" s="72"/>
      <c r="T66" s="20"/>
      <c r="U66" s="42"/>
      <c r="V66" s="47"/>
      <c r="W66" s="80"/>
      <c r="X66" s="49"/>
      <c r="Y66" s="82"/>
      <c r="Z66" s="49"/>
      <c r="AA66" s="82"/>
      <c r="AB66" s="49"/>
      <c r="AC66" s="51"/>
      <c r="AD66" s="84"/>
      <c r="AE66" s="51"/>
      <c r="AF66" s="53"/>
    </row>
    <row r="67" spans="1:32" ht="40.5">
      <c r="A67" s="47" t="s">
        <v>283</v>
      </c>
      <c r="B67" s="47">
        <v>47</v>
      </c>
      <c r="C67" s="27" t="s">
        <v>375</v>
      </c>
      <c r="D67" s="148" t="s">
        <v>311</v>
      </c>
      <c r="E67" s="121" t="s">
        <v>468</v>
      </c>
      <c r="F67" s="20" t="s">
        <v>469</v>
      </c>
      <c r="G67" s="19" t="s">
        <v>321</v>
      </c>
      <c r="H67" s="47">
        <v>80</v>
      </c>
      <c r="I67" s="47" t="s">
        <v>332</v>
      </c>
      <c r="J67" s="123" t="s">
        <v>428</v>
      </c>
      <c r="K67" s="75" t="s">
        <v>429</v>
      </c>
      <c r="L67" s="78" t="s">
        <v>476</v>
      </c>
      <c r="M67" s="138"/>
      <c r="N67" s="72"/>
      <c r="O67" s="75"/>
      <c r="P67" s="74"/>
      <c r="Q67" s="42"/>
      <c r="R67" s="27"/>
      <c r="S67" s="72"/>
      <c r="T67" s="20"/>
      <c r="U67" s="42"/>
      <c r="V67" s="47"/>
      <c r="W67" s="80"/>
      <c r="X67" s="49"/>
      <c r="Y67" s="82"/>
      <c r="Z67" s="49"/>
      <c r="AA67" s="82"/>
      <c r="AB67" s="49"/>
      <c r="AC67" s="51"/>
      <c r="AD67" s="84"/>
      <c r="AE67" s="51"/>
      <c r="AF67" s="53"/>
    </row>
    <row r="68" spans="1:32">
      <c r="A68" s="47" t="s">
        <v>283</v>
      </c>
      <c r="B68" s="47">
        <v>48</v>
      </c>
      <c r="C68" s="27" t="s">
        <v>375</v>
      </c>
      <c r="D68" s="148" t="s">
        <v>311</v>
      </c>
      <c r="E68" s="121" t="s">
        <v>471</v>
      </c>
      <c r="F68" s="20" t="s">
        <v>470</v>
      </c>
      <c r="G68" s="19" t="s">
        <v>321</v>
      </c>
      <c r="H68" s="47">
        <v>82</v>
      </c>
      <c r="I68" s="47" t="s">
        <v>332</v>
      </c>
      <c r="J68" s="123" t="s">
        <v>432</v>
      </c>
      <c r="K68" s="75" t="s">
        <v>433</v>
      </c>
      <c r="L68" s="78" t="s">
        <v>476</v>
      </c>
      <c r="M68" s="138"/>
      <c r="N68" s="72"/>
      <c r="O68" s="75"/>
      <c r="P68" s="74"/>
      <c r="Q68" s="42"/>
      <c r="R68" s="27"/>
      <c r="S68" s="72"/>
      <c r="T68" s="20"/>
      <c r="U68" s="42"/>
      <c r="V68" s="47"/>
      <c r="W68" s="80"/>
      <c r="X68" s="49"/>
      <c r="Y68" s="82"/>
      <c r="Z68" s="49"/>
      <c r="AA68" s="82"/>
      <c r="AB68" s="49"/>
      <c r="AC68" s="51"/>
      <c r="AD68" s="84"/>
      <c r="AE68" s="51"/>
      <c r="AF68" s="53"/>
    </row>
    <row r="69" spans="1:32">
      <c r="A69" s="47" t="s">
        <v>283</v>
      </c>
      <c r="B69" s="47">
        <v>49</v>
      </c>
      <c r="C69" s="27" t="s">
        <v>375</v>
      </c>
      <c r="D69" s="148" t="s">
        <v>311</v>
      </c>
      <c r="E69" s="121" t="s">
        <v>472</v>
      </c>
      <c r="F69" s="20" t="s">
        <v>473</v>
      </c>
      <c r="G69" s="19" t="s">
        <v>321</v>
      </c>
      <c r="H69" s="47">
        <v>98</v>
      </c>
      <c r="I69" s="47" t="s">
        <v>332</v>
      </c>
      <c r="J69" s="123" t="s">
        <v>436</v>
      </c>
      <c r="K69" s="75" t="s">
        <v>437</v>
      </c>
      <c r="L69" s="78" t="s">
        <v>476</v>
      </c>
      <c r="M69" s="138"/>
      <c r="N69" s="72"/>
      <c r="O69" s="75"/>
      <c r="P69" s="74"/>
      <c r="Q69" s="42"/>
      <c r="R69" s="27"/>
      <c r="S69" s="72"/>
      <c r="T69" s="20"/>
      <c r="U69" s="42"/>
      <c r="V69" s="47"/>
      <c r="W69" s="80"/>
      <c r="X69" s="49"/>
      <c r="Y69" s="82"/>
      <c r="Z69" s="49"/>
      <c r="AA69" s="82"/>
      <c r="AB69" s="49"/>
      <c r="AC69" s="51"/>
      <c r="AD69" s="84"/>
      <c r="AE69" s="51"/>
      <c r="AF69" s="53"/>
    </row>
    <row r="70" spans="1:32" ht="19.5" thickBot="1">
      <c r="A70" s="48"/>
      <c r="B70" s="48"/>
      <c r="C70" s="43"/>
      <c r="D70" s="149"/>
      <c r="E70" s="122"/>
      <c r="F70" s="44"/>
      <c r="G70" s="46"/>
      <c r="H70" s="48"/>
      <c r="I70" s="48"/>
      <c r="J70" s="124"/>
      <c r="K70" s="77"/>
      <c r="L70" s="79"/>
      <c r="M70" s="139"/>
      <c r="N70" s="73"/>
      <c r="O70" s="77"/>
      <c r="P70" s="76"/>
      <c r="Q70" s="45"/>
      <c r="R70" s="43"/>
      <c r="S70" s="73"/>
      <c r="T70" s="44"/>
      <c r="U70" s="45"/>
      <c r="V70" s="48"/>
      <c r="W70" s="81"/>
      <c r="X70" s="50"/>
      <c r="Y70" s="83"/>
      <c r="Z70" s="50"/>
      <c r="AA70" s="83"/>
      <c r="AB70" s="50"/>
      <c r="AC70" s="52"/>
      <c r="AD70" s="85"/>
      <c r="AE70" s="52"/>
      <c r="AF70" s="54"/>
    </row>
  </sheetData>
  <autoFilter ref="A20:AF20" xr:uid="{4F5D1C2D-0B5F-4927-953F-5DF63DB0D976}"/>
  <sortState xmlns:xlrd2="http://schemas.microsoft.com/office/spreadsheetml/2017/richdata2" ref="A21:AF69">
    <sortCondition ref="B21"/>
  </sortState>
  <mergeCells count="5">
    <mergeCell ref="M19:O19"/>
    <mergeCell ref="P19:Q19"/>
    <mergeCell ref="W19:AF19"/>
    <mergeCell ref="I6:I7"/>
    <mergeCell ref="R19:U19"/>
  </mergeCells>
  <phoneticPr fontId="3"/>
  <conditionalFormatting sqref="I20:I70 E20:G70">
    <cfRule type="expression" dxfId="24" priority="14">
      <formula>COUNTIF($E$20:$E20,$E20)&gt;1</formula>
    </cfRule>
  </conditionalFormatting>
  <conditionalFormatting sqref="A21:AF70">
    <cfRule type="expression" dxfId="23" priority="15">
      <formula>$A21="既"</formula>
    </cfRule>
  </conditionalFormatting>
  <conditionalFormatting sqref="O21:AF70">
    <cfRule type="expression" dxfId="22" priority="23">
      <formula>$I21="MACRO"</formula>
    </cfRule>
  </conditionalFormatting>
  <conditionalFormatting sqref="H21:I70 L21:AF70">
    <cfRule type="expression" dxfId="21" priority="22">
      <formula>$C21="削除"</formula>
    </cfRule>
  </conditionalFormatting>
  <conditionalFormatting sqref="N21:O70">
    <cfRule type="expression" dxfId="20" priority="13">
      <formula>$M21="新規定数(新規機能)"</formula>
    </cfRule>
  </conditionalFormatting>
  <conditionalFormatting sqref="A21:K70">
    <cfRule type="expression" dxfId="19" priority="11">
      <formula>$A21="既DR"</formula>
    </cfRule>
  </conditionalFormatting>
  <conditionalFormatting sqref="L21:AF70">
    <cfRule type="expression" dxfId="18" priority="20">
      <formula>$A21="既DR"</formula>
    </cfRule>
  </conditionalFormatting>
  <conditionalFormatting sqref="E21:E70">
    <cfRule type="expression" dxfId="17" priority="12">
      <formula>NOT(OR(MID(E21,3,2)="g_",MID(E21,3,2)="s_",E21=""))</formula>
    </cfRule>
  </conditionalFormatting>
  <conditionalFormatting sqref="E20:E70">
    <cfRule type="expression" dxfId="16" priority="69">
      <formula>OR(EXACT($F$7:$F$15,$E20))</formula>
    </cfRule>
    <cfRule type="expression" dxfId="15" priority="70">
      <formula>OR(EXACT($H$7:$H$15,$E20))</formula>
    </cfRule>
  </conditionalFormatting>
  <conditionalFormatting sqref="F7:F15">
    <cfRule type="expression" dxfId="14" priority="71">
      <formula>OR(EXACT($E$20:$E$70,$F7))</formula>
    </cfRule>
  </conditionalFormatting>
  <conditionalFormatting sqref="H7:H15">
    <cfRule type="expression" dxfId="13" priority="73">
      <formula>OR(EXACT($E$20:$E$70,$H7))</formula>
    </cfRule>
  </conditionalFormatting>
  <conditionalFormatting sqref="A21:C70">
    <cfRule type="expression" dxfId="12" priority="21">
      <formula>AND($E21&lt;&gt;"",A21="")</formula>
    </cfRule>
  </conditionalFormatting>
  <conditionalFormatting sqref="D21:D70">
    <cfRule type="expression" dxfId="11" priority="10">
      <formula>AND(D21="",$E21&lt;&gt;"",$C21&lt;&gt;"一致")</formula>
    </cfRule>
  </conditionalFormatting>
  <conditionalFormatting sqref="D17">
    <cfRule type="expression" dxfId="10" priority="9">
      <formula>$D$17&lt;&gt;""</formula>
    </cfRule>
  </conditionalFormatting>
  <conditionalFormatting sqref="L17">
    <cfRule type="expression" dxfId="9" priority="8">
      <formula>$L$17&lt;&gt;""</formula>
    </cfRule>
  </conditionalFormatting>
  <conditionalFormatting sqref="L21:L70">
    <cfRule type="expression" dxfId="8" priority="7">
      <formula>AND(L21="",$E21&lt;&gt;"",$C21&lt;&gt;"一致",$C21&lt;&gt;"削除")</formula>
    </cfRule>
  </conditionalFormatting>
  <conditionalFormatting sqref="C21:C70">
    <cfRule type="expression" dxfId="7" priority="6">
      <formula>$C21="削除"</formula>
    </cfRule>
  </conditionalFormatting>
  <conditionalFormatting sqref="H8:H14">
    <cfRule type="expression" dxfId="6" priority="5">
      <formula>MID(G8,2,5)="軸方向同値"</formula>
    </cfRule>
  </conditionalFormatting>
  <conditionalFormatting sqref="L22:L24">
    <cfRule type="expression" dxfId="3" priority="4">
      <formula>COUNTIF($E$20:$E22,$E22)&gt;1</formula>
    </cfRule>
  </conditionalFormatting>
  <conditionalFormatting sqref="L22:L24">
    <cfRule type="expression" dxfId="2" priority="3">
      <formula>$A22="既DR"</formula>
    </cfRule>
  </conditionalFormatting>
  <conditionalFormatting sqref="L21">
    <cfRule type="expression" dxfId="1" priority="2">
      <formula>COUNTIF($E$20:$E21,$E21)&gt;1</formula>
    </cfRule>
  </conditionalFormatting>
  <conditionalFormatting sqref="L21">
    <cfRule type="expression" dxfId="0" priority="1">
      <formula>$A21="既DR"</formula>
    </cfRule>
  </conditionalFormatting>
  <dataValidations count="7">
    <dataValidation type="list" showInputMessage="1" showErrorMessage="1" sqref="U15 U17" xr:uid="{D03D338A-3AEA-4ED3-8CBB-205463F87294}">
      <formula1>"50%,75%,100%"</formula1>
    </dataValidation>
    <dataValidation type="list" allowBlank="1" showInputMessage="1" showErrorMessage="1" sqref="G17 G15" xr:uid="{8CEA5ACF-8DD6-4C26-A12A-56B84AE6EA74}">
      <formula1>"＝,≠,≦,＜,＞,≧,x軸方向同値,y方向軸同値,z軸方向同値,w軸方向同値"</formula1>
    </dataValidation>
    <dataValidation type="list" allowBlank="1" showInputMessage="1" showErrorMessage="1" sqref="A21:A70" xr:uid="{6ED00C88-5679-4666-951D-5EA7D5EA5393}">
      <formula1>"新,新DR,既DR,既"</formula1>
    </dataValidation>
    <dataValidation type="list" allowBlank="1" showInputMessage="1" showErrorMessage="1" sqref="I8:I15" xr:uid="{52040B33-C1F5-4C1A-A42B-164BDF289118}">
      <formula1>"有効,機能カット,↑"</formula1>
    </dataValidation>
    <dataValidation type="list" allowBlank="1" showInputMessage="1" showErrorMessage="1" sqref="G8:G14" xr:uid="{12C3E02C-1885-4C7B-9F75-77077E6FD217}">
      <formula1>"＝,≠,≦,＜,＞,≧,x軸方向同値,y軸方向同値,z軸方向同値,w軸方向同値"</formula1>
    </dataValidation>
    <dataValidation type="list" errorStyle="warning" allowBlank="1" showInputMessage="1" showErrorMessage="1" errorTitle="警告" error="リストから選んでください" sqref="C21:C70" xr:uid="{D9DF1BC9-2963-4B4C-8B95-51067FBA95C0}">
      <formula1>"新規,削除,変更：CSW,変更：定数,一致"</formula1>
    </dataValidation>
    <dataValidation type="list" allowBlank="1" showInputMessage="1" sqref="I21:I70" xr:uid="{AC8FF7DA-8CD9-46F9-8A85-54389B2A8C21}">
      <formula1>"VALUE,1D_TABLE,2D_TABLE,1D_MAP,2D_MAP,3D_MAP,4D_MAP"</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行を上に動かす">
                <anchor moveWithCells="1" sizeWithCells="1">
                  <from>
                    <xdr:col>2</xdr:col>
                    <xdr:colOff>781050</xdr:colOff>
                    <xdr:row>18</xdr:row>
                    <xdr:rowOff>9525</xdr:rowOff>
                  </from>
                  <to>
                    <xdr:col>3</xdr:col>
                    <xdr:colOff>257175</xdr:colOff>
                    <xdr:row>18</xdr:row>
                    <xdr:rowOff>247650</xdr:rowOff>
                  </to>
                </anchor>
              </controlPr>
            </control>
          </mc:Choice>
        </mc:AlternateContent>
        <mc:AlternateContent xmlns:mc="http://schemas.openxmlformats.org/markup-compatibility/2006">
          <mc:Choice Requires="x14">
            <control shapeId="1029" r:id="rId5" name="Button 5">
              <controlPr defaultSize="0" autoFill="0" autoPict="0" macro="[0]!行を下に動かす">
                <anchor moveWithCells="1" sizeWithCells="1">
                  <from>
                    <xdr:col>3</xdr:col>
                    <xdr:colOff>304800</xdr:colOff>
                    <xdr:row>18</xdr:row>
                    <xdr:rowOff>9525</xdr:rowOff>
                  </from>
                  <to>
                    <xdr:col>3</xdr:col>
                    <xdr:colOff>600075</xdr:colOff>
                    <xdr:row>18</xdr:row>
                    <xdr:rowOff>247650</xdr:rowOff>
                  </to>
                </anchor>
              </controlPr>
            </control>
          </mc:Choice>
        </mc:AlternateContent>
        <mc:AlternateContent xmlns:mc="http://schemas.openxmlformats.org/markup-compatibility/2006">
          <mc:Choice Requires="x14">
            <control shapeId="1033" r:id="rId6" name="Button 9">
              <controlPr defaultSize="0" autoFill="0" autoPict="0" macro="[0]!機能の追加">
                <anchor moveWithCells="1" sizeWithCells="1">
                  <from>
                    <xdr:col>0</xdr:col>
                    <xdr:colOff>238125</xdr:colOff>
                    <xdr:row>4</xdr:row>
                    <xdr:rowOff>238125</xdr:rowOff>
                  </from>
                  <to>
                    <xdr:col>2</xdr:col>
                    <xdr:colOff>552450</xdr:colOff>
                    <xdr:row>6</xdr:row>
                    <xdr:rowOff>28575</xdr:rowOff>
                  </to>
                </anchor>
              </controlPr>
            </control>
          </mc:Choice>
        </mc:AlternateContent>
        <mc:AlternateContent xmlns:mc="http://schemas.openxmlformats.org/markup-compatibility/2006">
          <mc:Choice Requires="x14">
            <control shapeId="1034" r:id="rId7" name="Button 10">
              <controlPr defaultSize="0" autoFill="0" autoPict="0" macro="[0]!機能カットAND条件追加">
                <anchor moveWithCells="1" sizeWithCells="1">
                  <from>
                    <xdr:col>0</xdr:col>
                    <xdr:colOff>219075</xdr:colOff>
                    <xdr:row>6</xdr:row>
                    <xdr:rowOff>57150</xdr:rowOff>
                  </from>
                  <to>
                    <xdr:col>2</xdr:col>
                    <xdr:colOff>571500</xdr:colOff>
                    <xdr:row>7</xdr:row>
                    <xdr:rowOff>152400</xdr:rowOff>
                  </to>
                </anchor>
              </controlPr>
            </control>
          </mc:Choice>
        </mc:AlternateContent>
        <mc:AlternateContent xmlns:mc="http://schemas.openxmlformats.org/markup-compatibility/2006">
          <mc:Choice Requires="x14">
            <control shapeId="1035" r:id="rId8" name="Button 11">
              <controlPr defaultSize="0" autoFill="0" autoPict="0" macro="[0]!自動ソート">
                <anchor moveWithCells="1" sizeWithCells="1">
                  <from>
                    <xdr:col>3</xdr:col>
                    <xdr:colOff>619125</xdr:colOff>
                    <xdr:row>18</xdr:row>
                    <xdr:rowOff>9525</xdr:rowOff>
                  </from>
                  <to>
                    <xdr:col>4</xdr:col>
                    <xdr:colOff>895350</xdr:colOff>
                    <xdr:row>18</xdr:row>
                    <xdr:rowOff>257175</xdr:rowOff>
                  </to>
                </anchor>
              </controlPr>
            </control>
          </mc:Choice>
        </mc:AlternateContent>
        <mc:AlternateContent xmlns:mc="http://schemas.openxmlformats.org/markup-compatibility/2006">
          <mc:Choice Requires="x14">
            <control shapeId="1070" r:id="rId9" name="Button 46">
              <controlPr defaultSize="0" print="0" autoFill="0" autoPict="0" macro="[0]!関係式作成_入力支援シートへ">
                <anchor moveWithCells="1" sizeWithCells="1">
                  <from>
                    <xdr:col>16</xdr:col>
                    <xdr:colOff>38100</xdr:colOff>
                    <xdr:row>16</xdr:row>
                    <xdr:rowOff>19050</xdr:rowOff>
                  </from>
                  <to>
                    <xdr:col>16</xdr:col>
                    <xdr:colOff>2514600</xdr:colOff>
                    <xdr:row>17</xdr:row>
                    <xdr:rowOff>0</xdr:rowOff>
                  </to>
                </anchor>
              </controlPr>
            </control>
          </mc:Choice>
        </mc:AlternateContent>
        <mc:AlternateContent xmlns:mc="http://schemas.openxmlformats.org/markup-compatibility/2006">
          <mc:Choice Requires="x14">
            <control shapeId="1036" r:id="rId10" name="Button 12">
              <controlPr defaultSize="0" print="0" autoFill="0" autoPict="0" macro="[0]!システム別定数設定">
                <anchor moveWithCells="1" sizeWithCells="1">
                  <from>
                    <xdr:col>22</xdr:col>
                    <xdr:colOff>76200</xdr:colOff>
                    <xdr:row>16</xdr:row>
                    <xdr:rowOff>19050</xdr:rowOff>
                  </from>
                  <to>
                    <xdr:col>24</xdr:col>
                    <xdr:colOff>542925</xdr:colOff>
                    <xdr:row>17</xdr:row>
                    <xdr:rowOff>38100</xdr:rowOff>
                  </to>
                </anchor>
              </controlPr>
            </control>
          </mc:Choice>
        </mc:AlternateContent>
        <mc:AlternateContent xmlns:mc="http://schemas.openxmlformats.org/markup-compatibility/2006">
          <mc:Choice Requires="x14">
            <control shapeId="1165" r:id="rId11" name="Button 141">
              <controlPr defaultSize="0" autoFill="0" autoPict="0" macro="[0]!SPOフォルダを開く">
                <anchor moveWithCells="1" sizeWithCells="1">
                  <from>
                    <xdr:col>6</xdr:col>
                    <xdr:colOff>790575</xdr:colOff>
                    <xdr:row>1</xdr:row>
                    <xdr:rowOff>57150</xdr:rowOff>
                  </from>
                  <to>
                    <xdr:col>7</xdr:col>
                    <xdr:colOff>1504950</xdr:colOff>
                    <xdr:row>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1C1F316-6E3D-4DF8-B2FD-CA5FF3F75CF4}">
          <x14:formula1>
            <xm:f>リスト!$D$3:$D$62</xm:f>
          </x14:formula1>
          <xm:sqref>U21:U70</xm:sqref>
        </x14:dataValidation>
        <x14:dataValidation type="list" allowBlank="1" showInputMessage="1" showErrorMessage="1" xr:uid="{7313F81C-3C5E-411B-A1E2-CBC87379A2CF}">
          <x14:formula1>
            <xm:f>リスト!$C$3:$C$12</xm:f>
          </x14:formula1>
          <xm:sqref>T21:T70</xm:sqref>
        </x14:dataValidation>
        <x14:dataValidation type="list" allowBlank="1" showInputMessage="1" showErrorMessage="1" xr:uid="{0C3BA7BA-6CDC-4C6A-B01F-BB95E4A79CF7}">
          <x14:formula1>
            <xm:f>リスト!$B$3:$B$34</xm:f>
          </x14:formula1>
          <xm:sqref>R21:R70</xm:sqref>
        </x14:dataValidation>
        <x14:dataValidation type="list" allowBlank="1" showInputMessage="1" showErrorMessage="1" xr:uid="{CB9FF21C-0923-4D71-AA50-5169877FF126}">
          <x14:formula1>
            <xm:f>リスト!$A$3:$A$21</xm:f>
          </x14:formula1>
          <xm:sqref>M21:M70</xm:sqref>
        </x14:dataValidation>
        <x14:dataValidation type="list" allowBlank="1" xr:uid="{86BE18AD-18EB-40B7-9E51-D8FF1DC45EFA}">
          <x14:formula1>
            <xm:f>リスト!$E$3:$E$8</xm:f>
          </x14:formula1>
          <xm:sqref>W21:W70</xm:sqref>
        </x14:dataValidation>
        <x14:dataValidation type="list" allowBlank="1" showInputMessage="1" showErrorMessage="1" xr:uid="{AA75F3BB-A362-404A-A7F9-F565B2C0FAE3}">
          <x14:formula1>
            <xm:f>リスト!$F$3:$F$45</xm:f>
          </x14:formula1>
          <xm:sqref>D21:D70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0283F-70F0-4F08-BECC-D12BC789BA5E}">
  <sheetPr codeName="Sheet2"/>
  <dimension ref="B1"/>
  <sheetViews>
    <sheetView workbookViewId="0"/>
  </sheetViews>
  <sheetFormatPr defaultRowHeight="18.75"/>
  <cols>
    <col min="1" max="1" width="35.75" customWidth="1"/>
    <col min="2" max="2" width="11.5" style="15" customWidth="1"/>
  </cols>
  <sheetData/>
  <phoneticPr fontId="3"/>
  <conditionalFormatting sqref="C1:XFD1048576">
    <cfRule type="expression" dxfId="5" priority="2">
      <formula>AND($B1="val",C1&lt;&gt;"")</formula>
    </cfRule>
  </conditionalFormatting>
  <conditionalFormatting sqref="B1:B1048576">
    <cfRule type="expression" dxfId="4" priority="1">
      <formula>B1="val"</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25743-DE3E-4202-A9D6-87BC7777502F}">
  <sheetPr codeName="Sheet5">
    <outlinePr summaryBelow="0"/>
  </sheetPr>
  <dimension ref="A1:T50"/>
  <sheetViews>
    <sheetView zoomScale="115" zoomScaleNormal="115" workbookViewId="0">
      <selection activeCell="A8" sqref="A8"/>
    </sheetView>
  </sheetViews>
  <sheetFormatPr defaultRowHeight="18.75" outlineLevelRow="1"/>
  <cols>
    <col min="1" max="1" width="40.5" customWidth="1"/>
    <col min="2" max="2" width="11.25" customWidth="1"/>
    <col min="3" max="3" width="19.875" style="15" customWidth="1"/>
    <col min="4" max="4" width="54" customWidth="1"/>
    <col min="9" max="16" width="2.125" customWidth="1"/>
    <col min="17" max="17" width="38.875" customWidth="1"/>
    <col min="18" max="18" width="4.875" bestFit="1" customWidth="1"/>
    <col min="19" max="19" width="5" bestFit="1" customWidth="1"/>
    <col min="20" max="20" width="34" customWidth="1"/>
  </cols>
  <sheetData>
    <row r="1" spans="2:7" ht="24">
      <c r="B1" s="55" t="s">
        <v>131</v>
      </c>
      <c r="C1"/>
      <c r="D1" s="69" t="s">
        <v>168</v>
      </c>
      <c r="E1" s="57"/>
    </row>
    <row r="2" spans="2:7" ht="19.5">
      <c r="C2" s="15" t="s">
        <v>212</v>
      </c>
      <c r="D2" s="62" t="s">
        <v>216</v>
      </c>
      <c r="E2" s="58"/>
      <c r="G2" s="94" t="s">
        <v>170</v>
      </c>
    </row>
    <row r="3" spans="2:7">
      <c r="C3" s="56" t="s">
        <v>132</v>
      </c>
      <c r="D3" s="95" t="s">
        <v>218</v>
      </c>
    </row>
    <row r="4" spans="2:7">
      <c r="C4" s="15" t="s">
        <v>134</v>
      </c>
      <c r="D4" s="60" t="s">
        <v>217</v>
      </c>
    </row>
    <row r="5" spans="2:7" ht="37.5">
      <c r="C5" s="59" t="s">
        <v>133</v>
      </c>
      <c r="D5" s="61" t="s">
        <v>213</v>
      </c>
      <c r="E5" t="s">
        <v>197</v>
      </c>
    </row>
    <row r="6" spans="2:7">
      <c r="D6" s="60"/>
    </row>
    <row r="7" spans="2:7" ht="24">
      <c r="C7" s="87" t="s">
        <v>210</v>
      </c>
      <c r="D7" s="60"/>
    </row>
    <row r="8" spans="2:7">
      <c r="C8" s="68" t="s">
        <v>208</v>
      </c>
      <c r="D8" s="60"/>
    </row>
    <row r="9" spans="2:7">
      <c r="C9" s="70" t="s">
        <v>209</v>
      </c>
      <c r="D9" s="60"/>
    </row>
    <row r="10" spans="2:7">
      <c r="C10" s="70"/>
      <c r="D10" s="60"/>
    </row>
    <row r="11" spans="2:7">
      <c r="C11" s="97" t="s">
        <v>206</v>
      </c>
      <c r="D11" s="98"/>
    </row>
    <row r="12" spans="2:7">
      <c r="C12" s="90" t="s">
        <v>136</v>
      </c>
      <c r="D12" s="92"/>
      <c r="E12" t="s">
        <v>207</v>
      </c>
    </row>
    <row r="13" spans="2:7">
      <c r="D13" s="60"/>
    </row>
    <row r="14" spans="2:7">
      <c r="C14" s="56" t="s">
        <v>139</v>
      </c>
      <c r="D14" s="93" t="s">
        <v>220</v>
      </c>
      <c r="E14" t="s">
        <v>140</v>
      </c>
    </row>
    <row r="15" spans="2:7">
      <c r="C15" s="56" t="s">
        <v>137</v>
      </c>
      <c r="D15" s="93" t="s">
        <v>219</v>
      </c>
      <c r="E15" t="s">
        <v>138</v>
      </c>
    </row>
    <row r="16" spans="2:7">
      <c r="D16" s="60"/>
    </row>
    <row r="17" spans="1:9" ht="49.5" customHeight="1">
      <c r="C17" s="90" t="s">
        <v>169</v>
      </c>
      <c r="D17" s="92" t="s">
        <v>211</v>
      </c>
      <c r="E17" t="s">
        <v>195</v>
      </c>
    </row>
    <row r="18" spans="1:9">
      <c r="D18" s="60" t="s">
        <v>186</v>
      </c>
    </row>
    <row r="19" spans="1:9" ht="24.75" customHeight="1">
      <c r="D19" s="60"/>
    </row>
    <row r="20" spans="1:9" ht="57.75" customHeight="1" collapsed="1">
      <c r="A20" s="88" t="s">
        <v>187</v>
      </c>
      <c r="C20" s="90" t="s">
        <v>188</v>
      </c>
      <c r="D20" s="63" t="str">
        <f>IF(D22="","",IF(COUNTIF(F37:F40,"")&lt;4,_xlfn.TEXTJOIN(" &amp;&amp; ",TRUE,F37:F40)&amp;" &amp;&amp; ","")&amp;"x"&amp;IF(E27&lt;&gt;"","["&amp;_xlfn.TEXTJOIN("|",TRUE,E27:H27)&amp;"]",IF(E28&lt;&gt;"","("&amp;_xlfn.TEXTJOIN("|",TRUE,E28:H28)&amp;")",""))&amp;" "&amp;D23&amp;" "&amp;IF(D24="","",D24&amp;"(")&amp;D22&amp;IF(E32&lt;&gt;"","["&amp;_xlfn.TEXTJOIN("|",TRUE,E32:H32)&amp;"]",IF(E33&lt;&gt;"","("&amp;_xlfn.TEXTJOIN("|",TRUE,E33:H33)&amp;")",""))&amp;IF(D24="","",")"))</f>
        <v/>
      </c>
      <c r="E20" s="91" t="s">
        <v>196</v>
      </c>
      <c r="G20" s="15"/>
    </row>
    <row r="21" spans="1:9" hidden="1" outlineLevel="1">
      <c r="C21" s="68" t="s">
        <v>141</v>
      </c>
      <c r="G21" s="15"/>
      <c r="H21" s="34"/>
    </row>
    <row r="22" spans="1:9" hidden="1" outlineLevel="1">
      <c r="C22" s="15" t="s">
        <v>178</v>
      </c>
      <c r="D22" s="89"/>
      <c r="E22" t="s">
        <v>142</v>
      </c>
    </row>
    <row r="23" spans="1:9" hidden="1" outlineLevel="1">
      <c r="C23" s="15" t="s">
        <v>179</v>
      </c>
      <c r="D23" s="89"/>
      <c r="E23" t="s">
        <v>143</v>
      </c>
    </row>
    <row r="24" spans="1:9" hidden="1" outlineLevel="1">
      <c r="C24" s="15" t="s">
        <v>180</v>
      </c>
      <c r="D24" s="89"/>
      <c r="E24" t="s">
        <v>181</v>
      </c>
    </row>
    <row r="25" spans="1:9" hidden="1" outlineLevel="1">
      <c r="C25"/>
    </row>
    <row r="26" spans="1:9" hidden="1" outlineLevel="1">
      <c r="C26" s="15" t="s">
        <v>189</v>
      </c>
      <c r="D26" s="15"/>
      <c r="E26" s="34" t="s">
        <v>144</v>
      </c>
      <c r="F26" s="34" t="s">
        <v>145</v>
      </c>
      <c r="G26" s="34" t="s">
        <v>146</v>
      </c>
      <c r="H26" s="34" t="s">
        <v>147</v>
      </c>
    </row>
    <row r="27" spans="1:9" hidden="1" outlineLevel="1">
      <c r="C27"/>
      <c r="D27" s="15" t="s">
        <v>190</v>
      </c>
      <c r="E27" s="89"/>
      <c r="F27" s="89"/>
      <c r="G27" s="89"/>
      <c r="H27" s="89"/>
      <c r="I27" t="s">
        <v>148</v>
      </c>
    </row>
    <row r="28" spans="1:9" hidden="1" outlineLevel="1">
      <c r="C28"/>
      <c r="D28" s="15" t="s">
        <v>191</v>
      </c>
      <c r="E28" s="89"/>
      <c r="F28" s="89"/>
      <c r="G28" s="89"/>
      <c r="H28" s="89"/>
      <c r="I28" t="s">
        <v>149</v>
      </c>
    </row>
    <row r="29" spans="1:9" hidden="1" outlineLevel="1">
      <c r="E29" t="s">
        <v>150</v>
      </c>
      <c r="G29" s="15"/>
      <c r="H29" s="34"/>
    </row>
    <row r="30" spans="1:9" hidden="1" outlineLevel="1">
      <c r="C30"/>
    </row>
    <row r="31" spans="1:9" hidden="1" outlineLevel="1">
      <c r="C31" s="15" t="s">
        <v>192</v>
      </c>
      <c r="D31" s="15"/>
      <c r="E31" s="34" t="s">
        <v>144</v>
      </c>
      <c r="F31" s="34" t="s">
        <v>145</v>
      </c>
      <c r="G31" s="34" t="s">
        <v>146</v>
      </c>
      <c r="H31" s="34" t="s">
        <v>147</v>
      </c>
    </row>
    <row r="32" spans="1:9" hidden="1" outlineLevel="1">
      <c r="C32"/>
      <c r="D32" s="15" t="s">
        <v>190</v>
      </c>
      <c r="E32" s="89"/>
      <c r="F32" s="89"/>
      <c r="G32" s="89"/>
      <c r="H32" s="89"/>
      <c r="I32" t="s">
        <v>148</v>
      </c>
    </row>
    <row r="33" spans="1:20" hidden="1" outlineLevel="1">
      <c r="C33"/>
      <c r="D33" s="15" t="s">
        <v>191</v>
      </c>
      <c r="E33" s="89"/>
      <c r="F33" s="89"/>
      <c r="G33" s="89"/>
      <c r="H33" s="89"/>
      <c r="I33" t="s">
        <v>149</v>
      </c>
    </row>
    <row r="34" spans="1:20" hidden="1" outlineLevel="1">
      <c r="E34" t="s">
        <v>150</v>
      </c>
      <c r="G34" s="15"/>
      <c r="H34" s="34"/>
    </row>
    <row r="35" spans="1:20" hidden="1" outlineLevel="1">
      <c r="G35" s="15"/>
      <c r="H35" s="34"/>
    </row>
    <row r="36" spans="1:20" hidden="1" outlineLevel="1">
      <c r="C36" s="15" t="s">
        <v>193</v>
      </c>
      <c r="D36" t="s">
        <v>151</v>
      </c>
      <c r="G36" s="15"/>
      <c r="H36" s="34"/>
    </row>
    <row r="37" spans="1:20" hidden="1" outlineLevel="1">
      <c r="C37" s="15" t="s">
        <v>152</v>
      </c>
      <c r="D37" s="89" t="s">
        <v>194</v>
      </c>
      <c r="F37" s="64" t="str">
        <f>IF(D37&lt;&gt;"要一致","","xaxis = XAXIS("&amp;D22&amp;")")</f>
        <v/>
      </c>
      <c r="G37" s="15"/>
      <c r="H37" s="34"/>
    </row>
    <row r="38" spans="1:20" hidden="1" outlineLevel="1">
      <c r="C38" s="15" t="s">
        <v>153</v>
      </c>
      <c r="D38" s="89" t="s">
        <v>194</v>
      </c>
      <c r="F38" s="64" t="str">
        <f>IF(D38&lt;&gt;"要一致","","yaxis = YAXIS("&amp;D23&amp;")")</f>
        <v/>
      </c>
      <c r="G38" s="15"/>
      <c r="H38" s="34"/>
    </row>
    <row r="39" spans="1:20" hidden="1" outlineLevel="1">
      <c r="C39" s="15" t="s">
        <v>154</v>
      </c>
      <c r="D39" s="89" t="s">
        <v>194</v>
      </c>
      <c r="F39" s="64" t="str">
        <f>IF(D39&lt;&gt;"要一致","","zaxis = ZAXIS("&amp;D30&amp;")")</f>
        <v/>
      </c>
    </row>
    <row r="40" spans="1:20" hidden="1" outlineLevel="1">
      <c r="C40" s="15" t="s">
        <v>155</v>
      </c>
      <c r="D40" s="89" t="s">
        <v>194</v>
      </c>
      <c r="F40" s="64" t="str">
        <f>IF(D40&lt;&gt;"要一致","","waxis = WAXIS("&amp;D31&amp;")")</f>
        <v/>
      </c>
    </row>
    <row r="41" spans="1:20" hidden="1" outlineLevel="1"/>
    <row r="43" spans="1:20">
      <c r="C43" s="15" t="s">
        <v>221</v>
      </c>
    </row>
    <row r="44" spans="1:20">
      <c r="C44" s="56" t="s">
        <v>204</v>
      </c>
      <c r="D44" s="99"/>
    </row>
    <row r="45" spans="1:20">
      <c r="C45" s="15" t="s">
        <v>205</v>
      </c>
      <c r="D45" s="129">
        <v>0</v>
      </c>
    </row>
    <row r="46" spans="1:20">
      <c r="A46" s="16" t="s">
        <v>214</v>
      </c>
    </row>
    <row r="47" spans="1:20">
      <c r="A47" s="20" t="s">
        <v>156</v>
      </c>
      <c r="B47" s="20" t="s">
        <v>157</v>
      </c>
      <c r="C47" s="65" t="s">
        <v>158</v>
      </c>
      <c r="D47" s="20" t="s">
        <v>159</v>
      </c>
      <c r="E47" s="20" t="s">
        <v>20</v>
      </c>
      <c r="F47" s="20" t="s">
        <v>21</v>
      </c>
      <c r="G47" s="20" t="s">
        <v>22</v>
      </c>
      <c r="H47" s="20" t="s">
        <v>160</v>
      </c>
      <c r="I47" s="20" t="s">
        <v>161</v>
      </c>
      <c r="J47" s="20" t="s">
        <v>161</v>
      </c>
      <c r="K47" s="20" t="s">
        <v>162</v>
      </c>
      <c r="L47" s="20" t="s">
        <v>162</v>
      </c>
      <c r="M47" s="20" t="s">
        <v>163</v>
      </c>
      <c r="N47" s="20" t="s">
        <v>163</v>
      </c>
      <c r="O47" s="20" t="s">
        <v>164</v>
      </c>
      <c r="P47" s="20" t="s">
        <v>164</v>
      </c>
      <c r="Q47" s="20" t="s">
        <v>203</v>
      </c>
      <c r="R47" s="20" t="s">
        <v>165</v>
      </c>
      <c r="S47" s="20" t="s">
        <v>166</v>
      </c>
      <c r="T47" s="20" t="s">
        <v>167</v>
      </c>
    </row>
    <row r="48" spans="1:20">
      <c r="A48" s="66" t="str">
        <f>IF(AND(定数一覧!$E$3="",$D$12=""),"","#if "&amp;IF(D12&lt;&gt;"",IF(定数一覧!$E$3="",$D$12,"("&amp;定数一覧!$E$3&amp;") &amp;&amp; ("&amp;$D$12&amp;")"),定数一覧!$E$3))</f>
        <v/>
      </c>
      <c r="B48" s="66" t="str">
        <f>IF($A48&lt;&gt;"","",$D$4)</f>
        <v>Const</v>
      </c>
      <c r="C48" s="66" t="str">
        <f>IF($A48&lt;&gt;"","",$D$3)</f>
        <v>f4g_test_test</v>
      </c>
      <c r="D48" s="66"/>
      <c r="E48" s="66"/>
      <c r="F48" s="66" t="str">
        <f>IF($A48&lt;&gt;"","",IF($D$15="","","L"&amp;$D$15))</f>
        <v>L0</v>
      </c>
      <c r="G48" s="66" t="str">
        <f>IF($A48&lt;&gt;"","",IF($D$14="","","U"&amp;$D$14))</f>
        <v>U255</v>
      </c>
      <c r="H48" s="66"/>
      <c r="I48" s="66"/>
      <c r="J48" s="66"/>
      <c r="K48" s="66"/>
      <c r="L48" s="66"/>
      <c r="M48" s="66"/>
      <c r="N48" s="66"/>
      <c r="O48" s="66"/>
      <c r="P48" s="66"/>
      <c r="Q48" s="66" t="str">
        <f>IF($A48&lt;&gt;"","",IF($D$17="","",$D$17))</f>
        <v>x = 200</v>
      </c>
      <c r="R48" s="66"/>
      <c r="S48" s="66" t="str">
        <f>IF($A48&lt;&gt;"","","○")</f>
        <v>○</v>
      </c>
      <c r="T48" s="67" t="str">
        <f>IF($A48&lt;&gt;"","",IF($D$5="","",$D$5))</f>
        <v>test</v>
      </c>
    </row>
    <row r="49" spans="1:20">
      <c r="A49" s="66"/>
      <c r="B49" s="66" t="str">
        <f>IF($A48="","",$D$4)</f>
        <v/>
      </c>
      <c r="C49" s="66" t="str">
        <f>IF($A48="","",$D$3)</f>
        <v/>
      </c>
      <c r="D49" s="66"/>
      <c r="E49" s="66"/>
      <c r="F49" s="66" t="str">
        <f>IF($A48="","",IF($D$15="","","L"&amp;$D$15))</f>
        <v/>
      </c>
      <c r="G49" s="66" t="str">
        <f>IF($A48="","",IF($D$14="","","U"&amp;$D$14))</f>
        <v/>
      </c>
      <c r="H49" s="66"/>
      <c r="I49" s="66"/>
      <c r="J49" s="66"/>
      <c r="K49" s="66"/>
      <c r="L49" s="66"/>
      <c r="M49" s="66"/>
      <c r="N49" s="66"/>
      <c r="O49" s="66"/>
      <c r="P49" s="66"/>
      <c r="Q49" s="66" t="str">
        <f>IF($A48="","",IF($D$17="","",$D$17))</f>
        <v/>
      </c>
      <c r="R49" s="66"/>
      <c r="S49" s="66" t="str">
        <f>IF($A48="","","○")</f>
        <v/>
      </c>
      <c r="T49" s="67" t="str">
        <f>IF($A48="","",IF($D$5="","",$D$5))</f>
        <v/>
      </c>
    </row>
    <row r="50" spans="1:20">
      <c r="A50" s="66" t="str">
        <f>IF($A$48="","","#endif")</f>
        <v/>
      </c>
      <c r="B50" s="66"/>
      <c r="C50" s="66"/>
      <c r="D50" s="66"/>
      <c r="E50" s="66"/>
      <c r="F50" s="66"/>
      <c r="G50" s="66"/>
      <c r="H50" s="66"/>
      <c r="I50" s="66"/>
      <c r="J50" s="66"/>
      <c r="K50" s="66"/>
      <c r="L50" s="66"/>
      <c r="M50" s="66"/>
      <c r="N50" s="66"/>
      <c r="O50" s="66"/>
      <c r="P50" s="66"/>
      <c r="Q50" s="66"/>
      <c r="R50" s="66"/>
      <c r="S50" s="66"/>
      <c r="T50" s="66"/>
    </row>
  </sheetData>
  <sheetProtection formatRows="0"/>
  <dataConsolidate/>
  <phoneticPr fontId="3"/>
  <dataValidations count="4">
    <dataValidation type="list" allowBlank="1" showInputMessage="1" showErrorMessage="1" sqref="D24" xr:uid="{0D529C8C-12DB-4F08-8140-64033AB28E96}">
      <formula1>"min,max"</formula1>
    </dataValidation>
    <dataValidation type="list" showInputMessage="1" showErrorMessage="1" sqref="D23" xr:uid="{1CFE5949-22FD-43F0-9467-0668C4A14991}">
      <formula1>"&lt;,&lt;=,=,&gt;=,&gt;"</formula1>
    </dataValidation>
    <dataValidation type="list" showInputMessage="1" showErrorMessage="1" sqref="H34:H38 D37:D40 H29" xr:uid="{B12E5EBC-CFF3-469D-80DA-B42E2D7CEB25}">
      <formula1>"判定不要,要一致"</formula1>
    </dataValidation>
    <dataValidation type="list" allowBlank="1" showInputMessage="1" showErrorMessage="1" sqref="H21" xr:uid="{8C196B4C-B2CB-4725-816A-B92FFECB5F15}">
      <formula1>"&lt;,&lt;=,=,&gt;=,&gt;"</formula1>
    </dataValidation>
  </dataValidations>
  <hyperlinks>
    <hyperlink ref="D1" r:id="rId1" display="マニュアル：\\aplcretatmc\CRETA_AddOn\CRETACalibrationChecker\tekigou\CRETACalibrationCheckerUserGuide.pdf" xr:uid="{1F7995C2-AC43-4FAC-B88E-6C975D842EA3}"/>
    <hyperlink ref="G2" r:id="rId2" display="\\aplcretatmc\CRETA_AddOn\CRETACalibrationChecker\tekigou\" xr:uid="{94B79052-93B8-4D74-B7A4-13691E44FCCD}"/>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81" r:id="rId6" name="Button 9">
              <controlPr defaultSize="0" print="0" autoFill="0" autoPict="0" macro="[0]!関係式_AND追加">
                <anchor moveWithCells="1" sizeWithCells="1">
                  <from>
                    <xdr:col>3</xdr:col>
                    <xdr:colOff>57150</xdr:colOff>
                    <xdr:row>18</xdr:row>
                    <xdr:rowOff>38100</xdr:rowOff>
                  </from>
                  <to>
                    <xdr:col>3</xdr:col>
                    <xdr:colOff>1238250</xdr:colOff>
                    <xdr:row>18</xdr:row>
                    <xdr:rowOff>295275</xdr:rowOff>
                  </to>
                </anchor>
              </controlPr>
            </control>
          </mc:Choice>
        </mc:AlternateContent>
        <mc:AlternateContent xmlns:mc="http://schemas.openxmlformats.org/markup-compatibility/2006">
          <mc:Choice Requires="x14">
            <control shapeId="3082" r:id="rId7" name="Button 10">
              <controlPr defaultSize="0" print="0" autoFill="0" autoPict="0" macro="[0]!関係式_OR追加">
                <anchor moveWithCells="1" sizeWithCells="1">
                  <from>
                    <xdr:col>3</xdr:col>
                    <xdr:colOff>1276350</xdr:colOff>
                    <xdr:row>18</xdr:row>
                    <xdr:rowOff>38100</xdr:rowOff>
                  </from>
                  <to>
                    <xdr:col>3</xdr:col>
                    <xdr:colOff>2457450</xdr:colOff>
                    <xdr:row>18</xdr:row>
                    <xdr:rowOff>295275</xdr:rowOff>
                  </to>
                </anchor>
              </controlPr>
            </control>
          </mc:Choice>
        </mc:AlternateContent>
        <mc:AlternateContent xmlns:mc="http://schemas.openxmlformats.org/markup-compatibility/2006">
          <mc:Choice Requires="x14">
            <control shapeId="3083" r:id="rId8" name="Button 11">
              <controlPr defaultSize="0" print="0" autoFill="0" autoPict="0" macro="[0]!関係式_OR追加">
                <anchor moveWithCells="1" sizeWithCells="1">
                  <from>
                    <xdr:col>3</xdr:col>
                    <xdr:colOff>2895600</xdr:colOff>
                    <xdr:row>18</xdr:row>
                    <xdr:rowOff>19050</xdr:rowOff>
                  </from>
                  <to>
                    <xdr:col>4</xdr:col>
                    <xdr:colOff>180975</xdr:colOff>
                    <xdr:row>18</xdr:row>
                    <xdr:rowOff>295275</xdr:rowOff>
                  </to>
                </anchor>
              </controlPr>
            </control>
          </mc:Choice>
        </mc:AlternateContent>
        <mc:AlternateContent xmlns:mc="http://schemas.openxmlformats.org/markup-compatibility/2006">
          <mc:Choice Requires="x14">
            <control shapeId="3084" r:id="rId9" name="Button 12">
              <controlPr defaultSize="0" print="0" autoFill="0" autoPict="0" macro="[0]!関係式変換">
                <anchor moveWithCells="1" sizeWithCells="1">
                  <from>
                    <xdr:col>3</xdr:col>
                    <xdr:colOff>76200</xdr:colOff>
                    <xdr:row>41</xdr:row>
                    <xdr:rowOff>95250</xdr:rowOff>
                  </from>
                  <to>
                    <xdr:col>3</xdr:col>
                    <xdr:colOff>2438400</xdr:colOff>
                    <xdr:row>42</xdr:row>
                    <xdr:rowOff>180975</xdr:rowOff>
                  </to>
                </anchor>
              </controlPr>
            </control>
          </mc:Choice>
        </mc:AlternateContent>
        <mc:AlternateContent xmlns:mc="http://schemas.openxmlformats.org/markup-compatibility/2006">
          <mc:Choice Requires="x14">
            <control shapeId="3085" r:id="rId10" name="Button 13">
              <controlPr defaultSize="0" print="0" autoFill="0" autoPict="0" macro="[0]!関係式を一覧に転記">
                <anchor moveWithCells="1" sizeWithCells="1">
                  <from>
                    <xdr:col>4</xdr:col>
                    <xdr:colOff>142875</xdr:colOff>
                    <xdr:row>41</xdr:row>
                    <xdr:rowOff>95250</xdr:rowOff>
                  </from>
                  <to>
                    <xdr:col>6</xdr:col>
                    <xdr:colOff>685800</xdr:colOff>
                    <xdr:row>42</xdr:row>
                    <xdr:rowOff>180975</xdr:rowOff>
                  </to>
                </anchor>
              </controlPr>
            </control>
          </mc:Choice>
        </mc:AlternateContent>
        <mc:AlternateContent xmlns:mc="http://schemas.openxmlformats.org/markup-compatibility/2006">
          <mc:Choice Requires="x14">
            <control shapeId="3086" r:id="rId11" name="Button 14">
              <controlPr defaultSize="0" print="0" autoFill="0" autoPict="0" macro="[0]!関係式シート入力クリア">
                <anchor moveWithCells="1" sizeWithCells="1">
                  <from>
                    <xdr:col>0</xdr:col>
                    <xdr:colOff>2657475</xdr:colOff>
                    <xdr:row>12</xdr:row>
                    <xdr:rowOff>47625</xdr:rowOff>
                  </from>
                  <to>
                    <xdr:col>1</xdr:col>
                    <xdr:colOff>838200</xdr:colOff>
                    <xdr:row>13</xdr:row>
                    <xdr:rowOff>47625</xdr:rowOff>
                  </to>
                </anchor>
              </controlPr>
            </control>
          </mc:Choice>
        </mc:AlternateContent>
        <mc:AlternateContent xmlns:mc="http://schemas.openxmlformats.org/markup-compatibility/2006">
          <mc:Choice Requires="x14">
            <control shapeId="3087" r:id="rId12" name="Button 15">
              <controlPr defaultSize="0" print="0" autoFill="0" autoPict="0" macro="[0]!関係式シート入力一括クリア">
                <anchor moveWithCells="1" sizeWithCells="1">
                  <from>
                    <xdr:col>3</xdr:col>
                    <xdr:colOff>2457450</xdr:colOff>
                    <xdr:row>41</xdr:row>
                    <xdr:rowOff>171450</xdr:rowOff>
                  </from>
                  <to>
                    <xdr:col>4</xdr:col>
                    <xdr:colOff>95250</xdr:colOff>
                    <xdr:row>42</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5684D-802A-4BA3-88FD-116F32EDD9EE}">
  <sheetPr codeName="Sheet4"/>
  <dimension ref="A1:G62"/>
  <sheetViews>
    <sheetView zoomScale="70" zoomScaleNormal="70" workbookViewId="0">
      <pane ySplit="2" topLeftCell="A3" activePane="bottomLeft" state="frozen"/>
      <selection pane="bottomLeft" activeCell="A18" sqref="A5:A18"/>
    </sheetView>
  </sheetViews>
  <sheetFormatPr defaultColWidth="38.125" defaultRowHeight="18.75"/>
  <cols>
    <col min="2" max="2" width="52.125" customWidth="1"/>
  </cols>
  <sheetData>
    <row r="1" spans="1:6" ht="19.5">
      <c r="A1" s="17" t="s">
        <v>23</v>
      </c>
    </row>
    <row r="2" spans="1:6">
      <c r="A2" s="18" t="s">
        <v>4</v>
      </c>
      <c r="B2" s="18" t="s">
        <v>6</v>
      </c>
      <c r="C2" s="18" t="s">
        <v>7</v>
      </c>
      <c r="D2" s="18" t="s">
        <v>8</v>
      </c>
      <c r="E2" s="18" t="s">
        <v>24</v>
      </c>
      <c r="F2" s="18" t="s">
        <v>185</v>
      </c>
    </row>
    <row r="3" spans="1:6" ht="19.5" thickBot="1">
      <c r="A3" s="19"/>
      <c r="B3" s="20"/>
      <c r="C3" s="19"/>
      <c r="D3" s="20"/>
      <c r="E3" s="19"/>
      <c r="F3" s="143"/>
    </row>
    <row r="4" spans="1:6">
      <c r="A4" s="19" t="s">
        <v>243</v>
      </c>
      <c r="B4" s="20" t="s">
        <v>25</v>
      </c>
      <c r="C4" s="19" t="s">
        <v>26</v>
      </c>
      <c r="D4" s="20" t="s">
        <v>27</v>
      </c>
      <c r="E4" s="19" t="s">
        <v>28</v>
      </c>
      <c r="F4" s="144" t="str" cm="1">
        <f t="array" ref="F4:F10">_xlfn._xlws.FILTER(_xlfn.UNIQUE(定数一覧!$D$8:$D$15),_xlfn.UNIQUE(定数一覧!$D$8:$D$15)&lt;&gt;0)</f>
        <v>(1)</v>
      </c>
    </row>
    <row r="5" spans="1:6">
      <c r="A5" s="19" t="s">
        <v>286</v>
      </c>
      <c r="B5" s="20" t="s">
        <v>29</v>
      </c>
      <c r="C5" s="19" t="s">
        <v>30</v>
      </c>
      <c r="D5" s="20" t="s">
        <v>31</v>
      </c>
      <c r="E5" s="19" t="s">
        <v>32</v>
      </c>
      <c r="F5" s="145" t="str">
        <v>(2)</v>
      </c>
    </row>
    <row r="6" spans="1:6">
      <c r="A6" s="19" t="s">
        <v>244</v>
      </c>
      <c r="B6" s="20" t="s">
        <v>33</v>
      </c>
      <c r="C6" s="19" t="s">
        <v>34</v>
      </c>
      <c r="D6" s="20" t="s">
        <v>35</v>
      </c>
      <c r="E6" s="19"/>
      <c r="F6" s="145" t="str">
        <v>(3)</v>
      </c>
    </row>
    <row r="7" spans="1:6">
      <c r="A7" s="19" t="s">
        <v>245</v>
      </c>
      <c r="B7" s="20" t="s">
        <v>36</v>
      </c>
      <c r="C7" s="19" t="s">
        <v>37</v>
      </c>
      <c r="D7" s="20" t="s">
        <v>38</v>
      </c>
      <c r="E7" s="19"/>
      <c r="F7" s="145" t="str">
        <v>(4)</v>
      </c>
    </row>
    <row r="8" spans="1:6">
      <c r="A8" s="19" t="s">
        <v>246</v>
      </c>
      <c r="B8" s="20" t="s">
        <v>39</v>
      </c>
      <c r="C8" s="19" t="s">
        <v>40</v>
      </c>
      <c r="D8" s="20" t="s">
        <v>41</v>
      </c>
      <c r="E8" s="19"/>
      <c r="F8" s="145" t="str">
        <v>(5)</v>
      </c>
    </row>
    <row r="9" spans="1:6">
      <c r="A9" s="19" t="s">
        <v>247</v>
      </c>
      <c r="B9" s="20" t="s">
        <v>42</v>
      </c>
      <c r="C9" s="19"/>
      <c r="D9" s="20" t="s">
        <v>43</v>
      </c>
      <c r="F9" s="145" t="str">
        <v>(6)①</v>
      </c>
    </row>
    <row r="10" spans="1:6">
      <c r="A10" s="19" t="s">
        <v>248</v>
      </c>
      <c r="B10" s="20" t="s">
        <v>44</v>
      </c>
      <c r="C10" s="19"/>
      <c r="D10" s="20" t="s">
        <v>45</v>
      </c>
      <c r="F10" s="145" t="str">
        <v>(6)②</v>
      </c>
    </row>
    <row r="11" spans="1:6">
      <c r="A11" s="19" t="s">
        <v>249</v>
      </c>
      <c r="B11" s="20" t="s">
        <v>46</v>
      </c>
      <c r="C11" s="19"/>
      <c r="D11" s="20" t="s">
        <v>47</v>
      </c>
      <c r="F11" s="145"/>
    </row>
    <row r="12" spans="1:6">
      <c r="A12" s="19" t="s">
        <v>250</v>
      </c>
      <c r="B12" s="20" t="s">
        <v>48</v>
      </c>
      <c r="C12" s="19"/>
      <c r="D12" s="20" t="s">
        <v>49</v>
      </c>
      <c r="F12" s="145"/>
    </row>
    <row r="13" spans="1:6">
      <c r="A13" s="19" t="s">
        <v>251</v>
      </c>
      <c r="B13" s="20" t="s">
        <v>50</v>
      </c>
      <c r="D13" s="20" t="s">
        <v>51</v>
      </c>
      <c r="F13" s="145"/>
    </row>
    <row r="14" spans="1:6">
      <c r="A14" s="19" t="s">
        <v>252</v>
      </c>
      <c r="B14" s="20" t="s">
        <v>52</v>
      </c>
      <c r="D14" s="20" t="s">
        <v>53</v>
      </c>
      <c r="F14" s="145"/>
    </row>
    <row r="15" spans="1:6">
      <c r="A15" s="19" t="s">
        <v>276</v>
      </c>
      <c r="B15" s="20" t="s">
        <v>54</v>
      </c>
      <c r="D15" s="20" t="s">
        <v>55</v>
      </c>
      <c r="F15" s="145"/>
    </row>
    <row r="16" spans="1:6">
      <c r="A16" s="19" t="s">
        <v>261</v>
      </c>
      <c r="B16" s="20" t="s">
        <v>56</v>
      </c>
      <c r="D16" s="20" t="s">
        <v>57</v>
      </c>
      <c r="F16" s="145"/>
    </row>
    <row r="17" spans="1:6">
      <c r="A17" s="19"/>
      <c r="B17" s="20" t="s">
        <v>58</v>
      </c>
      <c r="D17" s="20" t="s">
        <v>59</v>
      </c>
      <c r="F17" s="145"/>
    </row>
    <row r="18" spans="1:6">
      <c r="A18" s="19"/>
      <c r="B18" s="20" t="s">
        <v>60</v>
      </c>
      <c r="D18" s="20" t="s">
        <v>61</v>
      </c>
      <c r="F18" s="145"/>
    </row>
    <row r="19" spans="1:6">
      <c r="A19" s="19"/>
      <c r="B19" s="20" t="s">
        <v>62</v>
      </c>
      <c r="D19" s="20" t="s">
        <v>63</v>
      </c>
      <c r="F19" s="145"/>
    </row>
    <row r="20" spans="1:6">
      <c r="A20" s="19"/>
      <c r="B20" s="20" t="s">
        <v>64</v>
      </c>
      <c r="D20" s="20" t="s">
        <v>65</v>
      </c>
      <c r="F20" s="145"/>
    </row>
    <row r="21" spans="1:6">
      <c r="A21" s="19"/>
      <c r="B21" s="20" t="s">
        <v>66</v>
      </c>
      <c r="D21" s="20" t="s">
        <v>67</v>
      </c>
      <c r="F21" s="145"/>
    </row>
    <row r="22" spans="1:6">
      <c r="B22" s="20" t="s">
        <v>68</v>
      </c>
      <c r="D22" s="20" t="s">
        <v>69</v>
      </c>
      <c r="F22" s="145"/>
    </row>
    <row r="23" spans="1:6">
      <c r="B23" s="20" t="s">
        <v>70</v>
      </c>
      <c r="D23" s="20" t="s">
        <v>71</v>
      </c>
      <c r="F23" s="145"/>
    </row>
    <row r="24" spans="1:6">
      <c r="B24" s="20" t="s">
        <v>72</v>
      </c>
      <c r="D24" s="20" t="s">
        <v>73</v>
      </c>
      <c r="F24" s="145"/>
    </row>
    <row r="25" spans="1:6">
      <c r="B25" s="20" t="s">
        <v>285</v>
      </c>
      <c r="D25" s="20" t="s">
        <v>74</v>
      </c>
      <c r="F25" s="145"/>
    </row>
    <row r="26" spans="1:6">
      <c r="B26" s="20" t="s">
        <v>75</v>
      </c>
      <c r="D26" s="20" t="s">
        <v>76</v>
      </c>
      <c r="F26" s="145"/>
    </row>
    <row r="27" spans="1:6">
      <c r="B27" s="20" t="s">
        <v>77</v>
      </c>
      <c r="D27" s="20" t="s">
        <v>78</v>
      </c>
      <c r="F27" s="145"/>
    </row>
    <row r="28" spans="1:6">
      <c r="B28" s="20" t="s">
        <v>79</v>
      </c>
      <c r="D28" s="20" t="s">
        <v>80</v>
      </c>
      <c r="F28" s="145"/>
    </row>
    <row r="29" spans="1:6">
      <c r="B29" s="20" t="s">
        <v>81</v>
      </c>
      <c r="D29" s="20" t="s">
        <v>82</v>
      </c>
      <c r="F29" s="145"/>
    </row>
    <row r="30" spans="1:6">
      <c r="B30" s="20" t="s">
        <v>273</v>
      </c>
      <c r="D30" s="20" t="s">
        <v>83</v>
      </c>
      <c r="F30" s="145"/>
    </row>
    <row r="31" spans="1:6">
      <c r="B31" s="20"/>
      <c r="D31" s="20" t="s">
        <v>84</v>
      </c>
      <c r="F31" s="145"/>
    </row>
    <row r="32" spans="1:6">
      <c r="B32" s="20"/>
      <c r="D32" s="20" t="s">
        <v>85</v>
      </c>
      <c r="F32" s="145"/>
    </row>
    <row r="33" spans="2:7" ht="19.5" thickBot="1">
      <c r="B33" s="20"/>
      <c r="D33" s="20" t="s">
        <v>86</v>
      </c>
      <c r="F33" s="146"/>
    </row>
    <row r="34" spans="2:7">
      <c r="B34" s="20"/>
      <c r="D34" s="20" t="s">
        <v>87</v>
      </c>
      <c r="F34" s="147" t="s">
        <v>287</v>
      </c>
    </row>
    <row r="35" spans="2:7" ht="56.25">
      <c r="D35" s="20" t="s">
        <v>88</v>
      </c>
      <c r="F35" s="152" t="s">
        <v>290</v>
      </c>
      <c r="G35" s="153" t="s">
        <v>289</v>
      </c>
    </row>
    <row r="36" spans="2:7">
      <c r="D36" s="20" t="s">
        <v>89</v>
      </c>
      <c r="F36" s="150"/>
    </row>
    <row r="37" spans="2:7">
      <c r="D37" s="20" t="s">
        <v>90</v>
      </c>
      <c r="F37" s="150"/>
    </row>
    <row r="38" spans="2:7">
      <c r="D38" s="20" t="s">
        <v>91</v>
      </c>
      <c r="F38" s="150"/>
    </row>
    <row r="39" spans="2:7">
      <c r="D39" s="20" t="s">
        <v>92</v>
      </c>
      <c r="F39" s="150"/>
    </row>
    <row r="40" spans="2:7">
      <c r="D40" s="20" t="s">
        <v>93</v>
      </c>
      <c r="F40" s="150"/>
    </row>
    <row r="41" spans="2:7">
      <c r="D41" s="20" t="s">
        <v>94</v>
      </c>
      <c r="F41" s="150"/>
    </row>
    <row r="42" spans="2:7">
      <c r="D42" s="20" t="s">
        <v>95</v>
      </c>
      <c r="F42" s="150"/>
    </row>
    <row r="43" spans="2:7">
      <c r="D43" s="20" t="s">
        <v>96</v>
      </c>
      <c r="F43" s="150"/>
    </row>
    <row r="44" spans="2:7">
      <c r="D44" s="20" t="s">
        <v>97</v>
      </c>
      <c r="F44" s="150"/>
    </row>
    <row r="45" spans="2:7" ht="19.5" thickBot="1">
      <c r="D45" s="20" t="s">
        <v>98</v>
      </c>
      <c r="F45" s="151"/>
    </row>
    <row r="46" spans="2:7">
      <c r="D46" s="20" t="s">
        <v>99</v>
      </c>
    </row>
    <row r="47" spans="2:7">
      <c r="D47" s="20" t="s">
        <v>100</v>
      </c>
    </row>
    <row r="48" spans="2:7">
      <c r="D48" s="20" t="s">
        <v>101</v>
      </c>
    </row>
    <row r="49" spans="4:4">
      <c r="D49" s="20" t="s">
        <v>102</v>
      </c>
    </row>
    <row r="50" spans="4:4">
      <c r="D50" s="20" t="s">
        <v>103</v>
      </c>
    </row>
    <row r="51" spans="4:4">
      <c r="D51" s="20" t="s">
        <v>104</v>
      </c>
    </row>
    <row r="52" spans="4:4">
      <c r="D52" s="20" t="s">
        <v>105</v>
      </c>
    </row>
    <row r="53" spans="4:4">
      <c r="D53" s="20" t="s">
        <v>106</v>
      </c>
    </row>
    <row r="54" spans="4:4">
      <c r="D54" s="20" t="s">
        <v>107</v>
      </c>
    </row>
    <row r="55" spans="4:4">
      <c r="D55" s="20" t="s">
        <v>108</v>
      </c>
    </row>
    <row r="56" spans="4:4">
      <c r="D56" s="20"/>
    </row>
    <row r="57" spans="4:4">
      <c r="D57" s="20"/>
    </row>
    <row r="58" spans="4:4">
      <c r="D58" s="20"/>
    </row>
    <row r="59" spans="4:4">
      <c r="D59" s="20"/>
    </row>
    <row r="60" spans="4:4">
      <c r="D60" s="20"/>
    </row>
    <row r="61" spans="4:4">
      <c r="D61" s="20"/>
    </row>
    <row r="62" spans="4:4">
      <c r="D62" s="20"/>
    </row>
  </sheetData>
  <sheetProtection sheet="1" objects="1" scenarios="1"/>
  <phoneticPr fontId="3"/>
  <dataValidations disablePrompts="1" count="1">
    <dataValidation type="list" allowBlank="1" showInputMessage="1" showErrorMessage="1" sqref="G1" xr:uid="{83927037-5DF0-4F89-B94C-ADBF48343B04}">
      <formula1>$D$3:$D$61</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4B2BB8BC1C1F6449EE2A41543ABD42D" ma:contentTypeVersion="14" ma:contentTypeDescription="新しいドキュメントを作成します。" ma:contentTypeScope="" ma:versionID="676dcdb36b23e5fe938310069ae92a0f">
  <xsd:schema xmlns:xsd="http://www.w3.org/2001/XMLSchema" xmlns:xs="http://www.w3.org/2001/XMLSchema" xmlns:p="http://schemas.microsoft.com/office/2006/metadata/properties" xmlns:ns2="349baaeb-6ca7-49c0-8011-547371196bbc" xmlns:ns3="ffbd7baa-40cf-457e-b619-fe04db4390e3" targetNamespace="http://schemas.microsoft.com/office/2006/metadata/properties" ma:root="true" ma:fieldsID="f33441494b597ce183012e939c2b2378" ns2:_="" ns3:_="">
    <xsd:import namespace="349baaeb-6ca7-49c0-8011-547371196bbc"/>
    <xsd:import namespace="ffbd7baa-40cf-457e-b619-fe04db4390e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9baaeb-6ca7-49c0-8011-547371196bb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401df557-eeb5-435c-8d7c-77a7fa12a987"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bd7baa-40cf-457e-b619-fe04db4390e3"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7b962c4d-8791-49cf-b613-5fa6694167b9}" ma:internalName="TaxCatchAll" ma:showField="CatchAllData" ma:web="ffbd7baa-40cf-457e-b619-fe04db4390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ffbd7baa-40cf-457e-b619-fe04db4390e3" xsi:nil="true"/>
    <lcf76f155ced4ddcb4097134ff3c332f xmlns="349baaeb-6ca7-49c0-8011-547371196bbc">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E12BFDE-442C-4748-A86F-B27DEC60B5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9baaeb-6ca7-49c0-8011-547371196bbc"/>
    <ds:schemaRef ds:uri="ffbd7baa-40cf-457e-b619-fe04db4390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91ADF3D-BD8C-4279-86AA-F2ABEC5B7695}">
  <ds:schemaRefs>
    <ds:schemaRef ds:uri="http://www.w3.org/XML/1998/namespace"/>
    <ds:schemaRef ds:uri="http://purl.org/dc/terms/"/>
    <ds:schemaRef ds:uri="http://schemas.microsoft.com/office/infopath/2007/PartnerControls"/>
    <ds:schemaRef ds:uri="http://purl.org/dc/dcmitype/"/>
    <ds:schemaRef ds:uri="http://schemas.microsoft.com/office/2006/documentManagement/types"/>
    <ds:schemaRef ds:uri="http://purl.org/dc/elements/1.1/"/>
    <ds:schemaRef ds:uri="http://schemas.openxmlformats.org/package/2006/metadata/core-properties"/>
    <ds:schemaRef ds:uri="ffbd7baa-40cf-457e-b619-fe04db4390e3"/>
    <ds:schemaRef ds:uri="349baaeb-6ca7-49c0-8011-547371196bbc"/>
    <ds:schemaRef ds:uri="http://schemas.microsoft.com/office/2006/metadata/properties"/>
  </ds:schemaRefs>
</ds:datastoreItem>
</file>

<file path=customXml/itemProps3.xml><?xml version="1.0" encoding="utf-8"?>
<ds:datastoreItem xmlns:ds="http://schemas.openxmlformats.org/officeDocument/2006/customXml" ds:itemID="{50104650-5C12-4DC2-9073-BAD42FCE883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Ver情報</vt:lpstr>
      <vt:lpstr>定数一覧</vt:lpstr>
      <vt:lpstr>定数値</vt:lpstr>
      <vt:lpstr>CRETA関係式入力支援</vt:lpstr>
      <vt:lpstr>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Miyazaki, Takashi/宮崎 崇</dc:creator>
  <cp:lastModifiedBy>16a</cp:lastModifiedBy>
  <dcterms:created xsi:type="dcterms:W3CDTF">2024-09-13T10:11:36Z</dcterms:created>
  <dcterms:modified xsi:type="dcterms:W3CDTF">2025-10-09T12:36:00Z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0x010100D4B2BB8BC1C1F6449EE2A41543ABD42D</vt:lpwstr>
  </property>
  <property fmtid="{D5CDD505-2E9C-101B-9397-08002B2CF9AE}" pid="3" name="MediaServiceImageTags">
    <vt:lpwstr/>
  </property>
</Properties>
</file>